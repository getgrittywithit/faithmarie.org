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search Topics" sheetId="2" state="visible" r:id="rId4"/>
    <sheet name="Paper Analysis Log" sheetId="3" state="visible" r:id="rId5"/>
    <sheet name="Agent Performance" sheetId="4" state="visible" r:id="rId6"/>
    <sheet name="Newsletter &amp; Social" sheetId="5" state="visible" r:id="rId7"/>
    <sheet name="Budget &amp; Revenu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<sst xmlns="http://schemas.openxmlformats.org/spreadsheetml/2006/main" count="371" uniqueCount="258">
  <si>
    <t xml:space="preserve">MindPulse AI Research Foundation — Operations Dashboard</t>
  </si>
  <si>
    <t xml:space="preserve">Total Topics</t>
  </si>
  <si>
    <t xml:space="preserve">Active Topics</t>
  </si>
  <si>
    <t xml:space="preserve">Papers Analyzed</t>
  </si>
  <si>
    <t xml:space="preserve">Findings Curated</t>
  </si>
  <si>
    <t xml:space="preserve">Newsletter Subs</t>
  </si>
  <si>
    <t xml:space="preserve">Monthly Revenue</t>
  </si>
  <si>
    <t xml:space="preserve">Agent Uptime</t>
  </si>
  <si>
    <t xml:space="preserve">Avg Confidence</t>
  </si>
  <si>
    <t xml:space="preserve">Research Focus Area Status</t>
  </si>
  <si>
    <t xml:space="preserve">Focus Area</t>
  </si>
  <si>
    <t xml:space="preserve">Status</t>
  </si>
  <si>
    <t xml:space="preserve">Papers This Month</t>
  </si>
  <si>
    <t xml:space="preserve">Key Finding This Week</t>
  </si>
  <si>
    <t xml:space="preserve">PTSD</t>
  </si>
  <si>
    <t xml:space="preserve">Active — Primary</t>
  </si>
  <si>
    <t xml:space="preserve">Psilocybin 67% remission at 12mo</t>
  </si>
  <si>
    <t xml:space="preserve">Depression</t>
  </si>
  <si>
    <t xml:space="preserve">Active — Secondary</t>
  </si>
  <si>
    <t xml:space="preserve">Gut microbiome predicts SSRI response</t>
  </si>
  <si>
    <t xml:space="preserve">Anxiety</t>
  </si>
  <si>
    <t xml:space="preserve">Planned — Q3 2027</t>
  </si>
  <si>
    <t xml:space="preserve">Digital CBT matches in-person therapy</t>
  </si>
  <si>
    <t xml:space="preserve">Cross-Condition</t>
  </si>
  <si>
    <t xml:space="preserve">Active — Ongoing</t>
  </si>
  <si>
    <t xml:space="preserve">IL-6 linked to comorbid phenotype</t>
  </si>
  <si>
    <t xml:space="preserve">Research Topics &amp; Sub-Topics</t>
  </si>
  <si>
    <t xml:space="preserve">Track all research areas, priorities, data sources, and progress</t>
  </si>
  <si>
    <t xml:space="preserve">Topic ID</t>
  </si>
  <si>
    <t xml:space="preserve">Sub-Topic</t>
  </si>
  <si>
    <t xml:space="preserve">Description</t>
  </si>
  <si>
    <t xml:space="preserve">Priority</t>
  </si>
  <si>
    <t xml:space="preserve">Data Sources</t>
  </si>
  <si>
    <t xml:space="preserve">Key Search Terms</t>
  </si>
  <si>
    <t xml:space="preserve">Papers Found</t>
  </si>
  <si>
    <t xml:space="preserve">Findings Generated</t>
  </si>
  <si>
    <t xml:space="preserve">Last Updated</t>
  </si>
  <si>
    <t xml:space="preserve">PTSD-001</t>
  </si>
  <si>
    <t xml:space="preserve">Psychedelic-Assisted Therapy</t>
  </si>
  <si>
    <t xml:space="preserve">Psilocybin, MDMA, ketamine for PTSD treatment</t>
  </si>
  <si>
    <t xml:space="preserve">High</t>
  </si>
  <si>
    <t xml:space="preserve">Active</t>
  </si>
  <si>
    <t xml:space="preserve">PubMed, ClinicalTrials.gov, bioRxiv</t>
  </si>
  <si>
    <t xml:space="preserve">psilocybin PTSD, MDMA therapy, psychedelic trauma</t>
  </si>
  <si>
    <t xml:space="preserve">2026-03-29</t>
  </si>
  <si>
    <t xml:space="preserve">PTSD-002</t>
  </si>
  <si>
    <t xml:space="preserve">EMDR Advances</t>
  </si>
  <si>
    <t xml:space="preserve">Eye Movement Desensitization and Reprocessing updates</t>
  </si>
  <si>
    <t xml:space="preserve">PubMed, PsycINFO</t>
  </si>
  <si>
    <t xml:space="preserve">EMDR PTSD, eye movement desensitization, trauma processing</t>
  </si>
  <si>
    <t xml:space="preserve">PTSD-003</t>
  </si>
  <si>
    <t xml:space="preserve">Veteran PTSD</t>
  </si>
  <si>
    <t xml:space="preserve">PTSD in military veterans, VA treatment outcomes</t>
  </si>
  <si>
    <t xml:space="preserve">PubMed, VA Research, PTSD Repository</t>
  </si>
  <si>
    <t xml:space="preserve">veteran PTSD, military trauma, combat stress, VA outcomes</t>
  </si>
  <si>
    <t xml:space="preserve">PTSD-004</t>
  </si>
  <si>
    <t xml:space="preserve">Digital Therapeutics for PTSD</t>
  </si>
  <si>
    <t xml:space="preserve">App-based and VR exposure therapy</t>
  </si>
  <si>
    <t xml:space="preserve">Medium</t>
  </si>
  <si>
    <t xml:space="preserve">PubMed, IEEE, ACM Digital Library</t>
  </si>
  <si>
    <t xml:space="preserve">VR exposure therapy, PTSD app, digital therapeutic trauma</t>
  </si>
  <si>
    <t xml:space="preserve">2026-03-28</t>
  </si>
  <si>
    <t xml:space="preserve">PTSD-005</t>
  </si>
  <si>
    <t xml:space="preserve">PTSD Biomarkers</t>
  </si>
  <si>
    <t xml:space="preserve">Cortisol, inflammatory markers, neuroimaging for PTSD</t>
  </si>
  <si>
    <t xml:space="preserve">PubMed, bioRxiv</t>
  </si>
  <si>
    <t xml:space="preserve">PTSD biomarker, cortisol trauma, HPA axis PTSD</t>
  </si>
  <si>
    <t xml:space="preserve">DEP-001</t>
  </si>
  <si>
    <t xml:space="preserve">Inflammation-Depression Link</t>
  </si>
  <si>
    <t xml:space="preserve">Neuroinflammation and cytokine role in MDD</t>
  </si>
  <si>
    <t xml:space="preserve">depression inflammation, IL-6 depression, neuroinflammation MDD</t>
  </si>
  <si>
    <t xml:space="preserve">DEP-002</t>
  </si>
  <si>
    <t xml:space="preserve">Gut-Brain Axis</t>
  </si>
  <si>
    <t xml:space="preserve">Microbiome influence on depression and treatment response</t>
  </si>
  <si>
    <t xml:space="preserve">PubMed, Nature Reviews</t>
  </si>
  <si>
    <t xml:space="preserve">gut microbiome depression, microbiota-gut-brain, SSRI microbiome</t>
  </si>
  <si>
    <t xml:space="preserve">DEP-003</t>
  </si>
  <si>
    <t xml:space="preserve">Treatment-Resistant Depression</t>
  </si>
  <si>
    <t xml:space="preserve">Interventions for TRD including ketamine, TMS, DBS</t>
  </si>
  <si>
    <t xml:space="preserve">PubMed, ClinicalTrials.gov</t>
  </si>
  <si>
    <t xml:space="preserve">treatment resistant depression, ketamine TRD, TMS depression</t>
  </si>
  <si>
    <t xml:space="preserve">DEP-004</t>
  </si>
  <si>
    <t xml:space="preserve">Depression Pharmacogenomics</t>
  </si>
  <si>
    <t xml:space="preserve">Genetic predictors of antidepressant response</t>
  </si>
  <si>
    <t xml:space="preserve">Planned</t>
  </si>
  <si>
    <t xml:space="preserve">PubMed, PharmGKB</t>
  </si>
  <si>
    <t xml:space="preserve">pharmacogenomics depression, CYP450 antidepressant, genetic SSRI</t>
  </si>
  <si>
    <t xml:space="preserve">ANX-001</t>
  </si>
  <si>
    <t xml:space="preserve">Digital CBT Efficacy</t>
  </si>
  <si>
    <t xml:space="preserve">App-based CBT for generalized anxiety and social anxiety</t>
  </si>
  <si>
    <t xml:space="preserve">digital CBT anxiety, app therapy GAD, mobile CBT</t>
  </si>
  <si>
    <t xml:space="preserve">ANX-002</t>
  </si>
  <si>
    <t xml:space="preserve">Anxiety-Gut Connection</t>
  </si>
  <si>
    <t xml:space="preserve">Microbiome influences on anxiety disorders</t>
  </si>
  <si>
    <t xml:space="preserve">gut microbiome anxiety, probiotics anxiety, microbiota GAD</t>
  </si>
  <si>
    <t xml:space="preserve">CC-001</t>
  </si>
  <si>
    <t xml:space="preserve">Heart-Brain Axis</t>
  </si>
  <si>
    <t xml:space="preserve">Cardiovascular risk and mental health comorbidity</t>
  </si>
  <si>
    <t xml:space="preserve">PubMed, Circulation, JAMA Cardiology</t>
  </si>
  <si>
    <t xml:space="preserve">depression cardiovascular, PTSD heart disease, anxiety cardiac</t>
  </si>
  <si>
    <t xml:space="preserve">CC-002</t>
  </si>
  <si>
    <t xml:space="preserve">Shared Biomarkers</t>
  </si>
  <si>
    <t xml:space="preserve">Common inflammatory and genetic markers across conditions</t>
  </si>
  <si>
    <t xml:space="preserve">IL-6 comorbid, shared biomarker depression anxiety, transdiagnostic marker</t>
  </si>
  <si>
    <t xml:space="preserve">TOTALS</t>
  </si>
  <si>
    <t xml:space="preserve">Daily Paper Analysis Log</t>
  </si>
  <si>
    <t xml:space="preserve">Every paper analyzed by the AI agents is logged here with key metadata and findings</t>
  </si>
  <si>
    <t xml:space="preserve">Paper ID</t>
  </si>
  <si>
    <t xml:space="preserve">Date Analyzed</t>
  </si>
  <si>
    <t xml:space="preserve">Title</t>
  </si>
  <si>
    <t xml:space="preserve">Source Journal</t>
  </si>
  <si>
    <t xml:space="preserve">Study Type</t>
  </si>
  <si>
    <t xml:space="preserve">Confidence Score</t>
  </si>
  <si>
    <t xml:space="preserve">Findings Count</t>
  </si>
  <si>
    <t xml:space="preserve">Sample Size</t>
  </si>
  <si>
    <t xml:space="preserve">Key Finding Summary</t>
  </si>
  <si>
    <t xml:space="preserve">Contradicts Existing?</t>
  </si>
  <si>
    <t xml:space="preserve">Priority Flag</t>
  </si>
  <si>
    <t xml:space="preserve">PAP-2026-0329-001</t>
  </si>
  <si>
    <t xml:space="preserve">Psilocybin-Assisted Therapy for Treatment-Resistant PTSD: Phase 2b RCT</t>
  </si>
  <si>
    <t xml:space="preserve">Lancet Psychiatry</t>
  </si>
  <si>
    <t xml:space="preserve">RCT</t>
  </si>
  <si>
    <t xml:space="preserve">67% remission at 12-month follow-up; significantly outperformed prolonged exposure alone</t>
  </si>
  <si>
    <t xml:space="preserve">No</t>
  </si>
  <si>
    <t xml:space="preserve">PAP-2026-0329-002</t>
  </si>
  <si>
    <t xml:space="preserve">Gut Microbiome Signature Predicts SSRI Response with 78% Accuracy</t>
  </si>
  <si>
    <t xml:space="preserve">Nature Medicine</t>
  </si>
  <si>
    <t xml:space="preserve">Meta-Analysis</t>
  </si>
  <si>
    <t xml:space="preserve">12-species gut microbiome panel predicts SSRI treatment response; validated across 4 cohorts</t>
  </si>
  <si>
    <t xml:space="preserve">PAP-2026-0329-003</t>
  </si>
  <si>
    <t xml:space="preserve">AI-Guided Smartphone CBT Non-Inferior to Face-to-Face for GAD</t>
  </si>
  <si>
    <t xml:space="preserve">JAMA Psychiatry</t>
  </si>
  <si>
    <t xml:space="preserve">52-week non-inferiority; 82% adherence vs 64% for in-person; equivalent symptom reduction</t>
  </si>
  <si>
    <t xml:space="preserve">PAP-2026-0329-004</t>
  </si>
  <si>
    <t xml:space="preserve">IL-6 as Transdiagnostic Biomarker for Comorbid Depression-Anxiety</t>
  </si>
  <si>
    <t xml:space="preserve">Biological Psychiatry</t>
  </si>
  <si>
    <t xml:space="preserve">Systematic Review</t>
  </si>
  <si>
    <t xml:space="preserve">Elevated IL-6 consistently appears in comorbid depression-anxiety phenotype across 7 studies</t>
  </si>
  <si>
    <t xml:space="preserve">Partially</t>
  </si>
  <si>
    <t xml:space="preserve">PAP-2026-0329-005</t>
  </si>
  <si>
    <t xml:space="preserve">Prolonged Exposure vs CPT in OEF/OIF Veterans: 5-Year Follow-Up</t>
  </si>
  <si>
    <t xml:space="preserve">Journal of Clinical Psychology</t>
  </si>
  <si>
    <t xml:space="preserve">Longitudinal</t>
  </si>
  <si>
    <t xml:space="preserve">No significant difference at 5 years; both show 55% sustained improvement; dropout predicts relapse</t>
  </si>
  <si>
    <t xml:space="preserve">PAP-2026-0328-006</t>
  </si>
  <si>
    <t xml:space="preserve">Esketamine Nasal Spray Real-World Effectiveness in Community Settings</t>
  </si>
  <si>
    <t xml:space="preserve">American Journal of Psychiatry</t>
  </si>
  <si>
    <t xml:space="preserve">Observational</t>
  </si>
  <si>
    <t xml:space="preserve">Real-world effectiveness lower than clinical trial (41% vs 53% response); adherence key factor</t>
  </si>
  <si>
    <t xml:space="preserve">PAP-2026-0328-007</t>
  </si>
  <si>
    <t xml:space="preserve">Machine Learning Classification of PTSD Using Resting-State fMRI</t>
  </si>
  <si>
    <t xml:space="preserve">NeuroImage: Clinical</t>
  </si>
  <si>
    <t xml:space="preserve">Cross-Sectional</t>
  </si>
  <si>
    <t xml:space="preserve">ML model achieves 83% classification accuracy for PTSD using default mode network connectivity</t>
  </si>
  <si>
    <t xml:space="preserve">Low</t>
  </si>
  <si>
    <t xml:space="preserve">PAP-2026-0328-008</t>
  </si>
  <si>
    <t xml:space="preserve">Depression as Independent Risk Factor for Heart Failure: Updated Meta-Analysis</t>
  </si>
  <si>
    <t xml:space="preserve">Circulation</t>
  </si>
  <si>
    <t xml:space="preserve">Depression increases HF risk by 1.6x (HR=1.58); dose-response relationship with severity</t>
  </si>
  <si>
    <t xml:space="preserve">AI Agent Performance Dashboard</t>
  </si>
  <si>
    <t xml:space="preserve">Overall System Metrics</t>
  </si>
  <si>
    <t xml:space="preserve">System Uptime</t>
  </si>
  <si>
    <t xml:space="preserve">Avg Daily Papers Scanned</t>
  </si>
  <si>
    <t xml:space="preserve">Avg Daily Papers Analyzed</t>
  </si>
  <si>
    <t xml:space="preserve">Avg Processing Time (min)</t>
  </si>
  <si>
    <t xml:space="preserve">False Positive Rate</t>
  </si>
  <si>
    <t xml:space="preserve">Avg Confidence Score</t>
  </si>
  <si>
    <t xml:space="preserve">Agent Performance Breakdown</t>
  </si>
  <si>
    <t xml:space="preserve">Agent Name</t>
  </si>
  <si>
    <t xml:space="preserve">Tasks Today</t>
  </si>
  <si>
    <t xml:space="preserve">Tasks Completed</t>
  </si>
  <si>
    <t xml:space="preserve">Completion Rate</t>
  </si>
  <si>
    <t xml:space="preserve">Avg Time (min)</t>
  </si>
  <si>
    <t xml:space="preserve">Errors Today</t>
  </si>
  <si>
    <t xml:space="preserve">Error Rate</t>
  </si>
  <si>
    <t xml:space="preserve">CEO Orchestrator</t>
  </si>
  <si>
    <t xml:space="preserve">Research Director</t>
  </si>
  <si>
    <t xml:space="preserve">Data Analyst Alpha</t>
  </si>
  <si>
    <t xml:space="preserve">Data Analyst Beta</t>
  </si>
  <si>
    <t xml:space="preserve">Data Analyst Gamma</t>
  </si>
  <si>
    <t xml:space="preserve">Pattern Detector</t>
  </si>
  <si>
    <t xml:space="preserve">Processing</t>
  </si>
  <si>
    <t xml:space="preserve">Quality Controller</t>
  </si>
  <si>
    <t xml:space="preserve">Queued</t>
  </si>
  <si>
    <t xml:space="preserve">Communications Agent</t>
  </si>
  <si>
    <t xml:space="preserve">Newsletter &amp; Social Media Metrics</t>
  </si>
  <si>
    <t xml:space="preserve">Newsletter Metrics</t>
  </si>
  <si>
    <t xml:space="preserve">Total Subscribers</t>
  </si>
  <si>
    <t xml:space="preserve">Open Rate (30-day avg)</t>
  </si>
  <si>
    <t xml:space="preserve">Click Rate (30-day avg)</t>
  </si>
  <si>
    <t xml:space="preserve">New Subs This Month</t>
  </si>
  <si>
    <t xml:space="preserve">Unsubscribe Rate</t>
  </si>
  <si>
    <t xml:space="preserve">Top Topic (by clicks)</t>
  </si>
  <si>
    <t xml:space="preserve">Monthly Newsletter Performance</t>
  </si>
  <si>
    <t xml:space="preserve">Month</t>
  </si>
  <si>
    <t xml:space="preserve">Emails Sent</t>
  </si>
  <si>
    <t xml:space="preserve">Opens</t>
  </si>
  <si>
    <t xml:space="preserve">Open Rate</t>
  </si>
  <si>
    <t xml:space="preserve">Clicks</t>
  </si>
  <si>
    <t xml:space="preserve">Click Rate</t>
  </si>
  <si>
    <t xml:space="preserve">New Subs</t>
  </si>
  <si>
    <t xml:space="preserve">Unsubs</t>
  </si>
  <si>
    <t xml:space="preserve">Net Growth</t>
  </si>
  <si>
    <t xml:space="preserve">Jan 2026</t>
  </si>
  <si>
    <t xml:space="preserve">Feb 2026</t>
  </si>
  <si>
    <t xml:space="preserve">Mar 2026</t>
  </si>
  <si>
    <t xml:space="preserve">Social Media Performance</t>
  </si>
  <si>
    <t xml:space="preserve">Platform</t>
  </si>
  <si>
    <t xml:space="preserve">Followers</t>
  </si>
  <si>
    <t xml:space="preserve">Posts This Month</t>
  </si>
  <si>
    <t xml:space="preserve">Impressions</t>
  </si>
  <si>
    <t xml:space="preserve">Engagements</t>
  </si>
  <si>
    <t xml:space="preserve">Engagement Rate</t>
  </si>
  <si>
    <t xml:space="preserve">Top Post Topic</t>
  </si>
  <si>
    <t xml:space="preserve">X / Twitter</t>
  </si>
  <si>
    <t xml:space="preserve">Psilocybin PTSD trial</t>
  </si>
  <si>
    <t xml:space="preserve">LinkedIn</t>
  </si>
  <si>
    <t xml:space="preserve">Depression-inflammation review</t>
  </si>
  <si>
    <t xml:space="preserve">Instagram</t>
  </si>
  <si>
    <t xml:space="preserve">Gut-brain infographic</t>
  </si>
  <si>
    <t xml:space="preserve">TOTAL</t>
  </si>
  <si>
    <t xml:space="preserve">Budget &amp; Revenue Tracker — Year 1</t>
  </si>
  <si>
    <t xml:space="preserve">Monthly Revenue by Source</t>
  </si>
  <si>
    <t xml:space="preserve">Revenue Source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</si>
  <si>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</si>
  <si>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</si>
  <si>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</si>
  <si>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</si>
  <si>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</si>
  <si>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</si>
  <si>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</si>
  <si>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</si>
  <si>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</si>
  <si>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</si>
  <si>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</si>
  <si>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</si>
  <si>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</t>
  </si>
  <si>
    <t xml:space="preserve">Grants</t>
  </si>
  <si>
    <t xml:space="preserve">Individual Donations</t>
  </si>
  <si>
    <t xml:space="preserve">Research Services</t>
  </si>
  <si>
    <t xml:space="preserve">Subscriptions</t>
  </si>
  <si>
    <t xml:space="preserve">Corporate Sponsorships</t>
  </si>
  <si>
    <t xml:space="preserve">Licensing</t>
  </si>
  <si>
    <t xml:space="preserve">TOTAL REVENUE</t>
  </si>
  <si>
    <t xml:space="preserve">Monthly Expenses</t>
  </si>
  <si>
    <t xml:space="preserve">Expense Category</t>
  </si>
  <si>
    <t xml:space="preserve">Cloud Hosting (AWS/GCP)</t>
  </si>
  <si>
    <t xml:space="preserve">AI API Costs (LLM)</t>
  </si>
  <si>
    <t xml:space="preserve">Database &amp; Storage</t>
  </si>
  <si>
    <t xml:space="preserve">Domain &amp; Website</t>
  </si>
  <si>
    <t xml:space="preserve">Email Service (newsletter)</t>
  </si>
  <si>
    <t xml:space="preserve">Legal &amp; Filing Fees</t>
  </si>
  <si>
    <t xml:space="preserve">Insurance</t>
  </si>
  <si>
    <t xml:space="preserve">Marketing &amp; Social Media</t>
  </si>
  <si>
    <t xml:space="preserve">Miscellaneous</t>
  </si>
  <si>
    <t xml:space="preserve">TOTAL EXPENSES</t>
  </si>
  <si>
    <t xml:space="preserve">NET INCOME</t>
  </si>
  <si>
    <t xml:space="preserve">CASH BALANCE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</si>
</sst>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\$#,##0;&quot;($&quot;#,##0\);\-"/>
    <numFmt numFmtId="167" formatCode="#,##0"/>
    <numFmt numFmtId="168" formatCode="0%"/>
    <numFmt numFmtId="169" formatCode="0.0"/>
    <numFmt numFmtId="170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5E7B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8"/>
      <color rgb="FF1B5E7B"/>
      <name val="Arial"/>
      <family val="0"/>
      <charset val="1"/>
    </font>
    <font>
      <b val="true"/>
      <sz val="11"/>
      <color rgb="FF1B5E7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1B5E7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5E7B"/>
        <bgColor rgb="FF008080"/>
      </patternFill>
    </fill>
    <fill>
      <patternFill patternType="solid">
        <fgColor rgb="FFF2F9FC"/>
        <bgColor rgb="FFEDF2F7"/>
      </patternFill>
    </fill>
    <fill>
      <patternFill patternType="solid">
        <fgColor rgb="FFFFFFFF"/>
        <bgColor rgb="FFF2F9FC"/>
      </patternFill>
    </fill>
    <fill>
      <patternFill patternType="solid">
        <fgColor rgb="FFFFF9E6"/>
        <bgColor rgb="FFFFFFFF"/>
      </patternFill>
    </fill>
    <fill>
      <patternFill patternType="solid">
        <fgColor rgb="FFEDF2F7"/>
        <bgColor rgb="FFF2F9FC"/>
      </patternFill>
    </fill>
    <fill>
      <patternFill patternType="solid">
        <fgColor rgb="FFFEE2E2"/>
        <bgColor rgb="FFEDF2F7"/>
      </patternFill>
    </fill>
    <fill>
      <patternFill patternType="solid">
        <fgColor rgb="FFDCFCE7"/>
        <bgColor rgb="FFED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E7B"/>
      <rgbColor rgb="FFC0C0C0"/>
      <rgbColor rgb="FF808080"/>
      <rgbColor rgb="FF8B5CF6"/>
      <rgbColor rgb="FF993366"/>
      <rgbColor rgb="FFFFF9E6"/>
      <rgbColor rgb="FFDCFCE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7"/>
      <rgbColor rgb="FFF2F9FC"/>
      <rgbColor rgb="FFFFFF99"/>
      <rgbColor rgb="FF99CCFF"/>
      <rgbColor rgb="FFFF99CC"/>
      <rgbColor rgb="FFCC99FF"/>
      <rgbColor rgb="FFFEE2E2"/>
      <rgbColor rgb="FF4F46E5"/>
      <rgbColor rgb="FF33CCCC"/>
      <rgbColor rgb="FF99CC00"/>
      <rgbColor rgb="FFFFCC00"/>
      <rgbColor rgb="FFFF9900"/>
      <rgbColor rgb="FFD97706"/>
      <rgbColor rgb="FF666666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7B"/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42"/>
    <col collapsed="false" customWidth="true" hidden="false" outlineLevel="0" max="8" min="5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22.05" hidden="false" customHeight="false" outlineLevel="0" collapsed="false">
      <c r="A4" s="3" t="n">
        <f aca="false">COUNTA('Research Topics'!A4:A103)</f>
        <v>14</v>
      </c>
      <c r="B4" s="3" t="n">
        <f aca="false">COUNTIF('Research Topics'!F4:F103,"Active")</f>
        <v>10</v>
      </c>
      <c r="C4" s="3" t="n">
        <f aca="false">COUNTA('Paper Analysis Log'!A4:A5003)</f>
        <v>8</v>
      </c>
      <c r="D4" s="3" t="n">
        <f aca="false">SUM('Paper Analysis Log'!I4:I5003)</f>
        <v>15</v>
      </c>
      <c r="E4" s="4" t="n">
        <f aca="false">'Newsletter &amp; Social'!B5</f>
        <v>0.42</v>
      </c>
      <c r="F4" s="5" t="n">
        <f aca="false">'Budget &amp; Revenue'!N6</f>
        <v>15000</v>
      </c>
      <c r="G4" s="4" t="n">
        <f aca="false">'Agent Performance'!B5</f>
        <v>168</v>
      </c>
      <c r="H4" s="4" t="n">
        <f aca="false">AVERAGE('Paper Analysis Log'!H4:H5003)</f>
        <v>0.82625</v>
      </c>
    </row>
    <row r="6" customFormat="false" ht="15" hidden="false" customHeight="false" outlineLevel="0" collapsed="false">
      <c r="A6" s="6" t="s">
        <v>9</v>
      </c>
      <c r="B6" s="6"/>
      <c r="C6" s="6"/>
      <c r="D6" s="6"/>
    </row>
    <row r="7" customFormat="false" ht="26.85" hidden="false" customHeight="false" outlineLevel="0" collapsed="false">
      <c r="A7" s="7" t="s">
        <v>10</v>
      </c>
      <c r="B7" s="7" t="s">
        <v>11</v>
      </c>
      <c r="C7" s="7" t="s">
        <v>12</v>
      </c>
      <c r="D7" s="7" t="s">
        <v>13</v>
      </c>
    </row>
    <row r="8" customFormat="false" ht="15" hidden="false" customHeight="false" outlineLevel="0" collapsed="false">
      <c r="A8" s="8" t="s">
        <v>14</v>
      </c>
      <c r="B8" s="8" t="s">
        <v>15</v>
      </c>
      <c r="C8" s="8" t="n">
        <f aca="true">COUNTIFS('Paper Analysis Log'!C4:C5003,"PTSD",'Paper Analysis Log'!B4:B5003,"&gt;="&amp;DATE(YEAR(TODAY()),MONTH(TODAY()),1))</f>
        <v>0</v>
      </c>
      <c r="D8" s="8" t="s">
        <v>16</v>
      </c>
    </row>
    <row r="9" customFormat="false" ht="15" hidden="false" customHeight="false" outlineLevel="0" collapsed="false">
      <c r="A9" s="9" t="s">
        <v>17</v>
      </c>
      <c r="B9" s="9" t="s">
        <v>18</v>
      </c>
      <c r="C9" s="9" t="n">
        <f aca="true">COUNTIFS('Paper Analysis Log'!C4:C5003,"Depression",'Paper Analysis Log'!B4:B5003,"&gt;="&amp;DATE(YEAR(TODAY()),MONTH(TODAY()),1))</f>
        <v>0</v>
      </c>
      <c r="D9" s="9" t="s">
        <v>19</v>
      </c>
    </row>
    <row r="10" customFormat="false" ht="15" hidden="false" customHeight="false" outlineLevel="0" collapsed="false">
      <c r="A10" s="8" t="s">
        <v>20</v>
      </c>
      <c r="B10" s="8" t="s">
        <v>21</v>
      </c>
      <c r="C10" s="8" t="n">
        <f aca="true">COUNTIFS('Paper Analysis Log'!C4:C5003,"Anxiety",'Paper Analysis Log'!B4:B5003,"&gt;="&amp;DATE(YEAR(TODAY()),MONTH(TODAY()),1))</f>
        <v>0</v>
      </c>
      <c r="D10" s="8" t="s">
        <v>22</v>
      </c>
    </row>
    <row r="11" customFormat="false" ht="15" hidden="false" customHeight="false" outlineLevel="0" collapsed="false">
      <c r="A11" s="9" t="s">
        <v>23</v>
      </c>
      <c r="B11" s="9" t="s">
        <v>24</v>
      </c>
      <c r="C11" s="9" t="n">
        <f aca="true">COUNTIFS('Paper Analysis Log'!C4:C5003,"Cross-Condition",'Paper Analysis Log'!B4:B5003,"&gt;="&amp;DATE(YEAR(TODAY()),MONTH(TODAY()),1))</f>
        <v>0</v>
      </c>
      <c r="D11" s="9" t="s">
        <v>25</v>
      </c>
    </row>
  </sheetData>
  <mergeCells count="2">
    <mergeCell ref="A1:H1"/>
    <mergeCell ref="A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32"/>
    <col collapsed="false" customWidth="true" hidden="false" outlineLevel="0" max="8" min="8" style="0" width="4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0" t="s">
        <v>27</v>
      </c>
    </row>
    <row r="3" customFormat="false" ht="26.85" hidden="false" customHeight="false" outlineLevel="0" collapsed="false">
      <c r="A3" s="7" t="s">
        <v>28</v>
      </c>
      <c r="B3" s="7" t="s">
        <v>10</v>
      </c>
      <c r="C3" s="7" t="s">
        <v>29</v>
      </c>
      <c r="D3" s="7" t="s">
        <v>30</v>
      </c>
      <c r="E3" s="7" t="s">
        <v>31</v>
      </c>
      <c r="F3" s="7" t="s">
        <v>11</v>
      </c>
      <c r="G3" s="7" t="s">
        <v>32</v>
      </c>
      <c r="H3" s="7" t="s">
        <v>33</v>
      </c>
      <c r="I3" s="7" t="s">
        <v>34</v>
      </c>
      <c r="J3" s="7" t="s">
        <v>3</v>
      </c>
      <c r="K3" s="7" t="s">
        <v>35</v>
      </c>
      <c r="L3" s="7" t="s">
        <v>36</v>
      </c>
    </row>
    <row r="4" customFormat="false" ht="23.85" hidden="false" customHeight="false" outlineLevel="0" collapsed="false">
      <c r="A4" s="8" t="s">
        <v>37</v>
      </c>
      <c r="B4" s="8" t="s">
        <v>14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42</v>
      </c>
      <c r="H4" s="8" t="s">
        <v>43</v>
      </c>
      <c r="I4" s="11" t="n">
        <v>342</v>
      </c>
      <c r="J4" s="11" t="n">
        <v>187</v>
      </c>
      <c r="K4" s="11" t="n">
        <v>56</v>
      </c>
      <c r="L4" s="8" t="s">
        <v>44</v>
      </c>
    </row>
    <row r="5" customFormat="false" ht="23.85" hidden="false" customHeight="false" outlineLevel="0" collapsed="false">
      <c r="A5" s="9" t="s">
        <v>45</v>
      </c>
      <c r="B5" s="9" t="s">
        <v>14</v>
      </c>
      <c r="C5" s="9" t="s">
        <v>46</v>
      </c>
      <c r="D5" s="9" t="s">
        <v>47</v>
      </c>
      <c r="E5" s="9" t="s">
        <v>40</v>
      </c>
      <c r="F5" s="9" t="s">
        <v>41</v>
      </c>
      <c r="G5" s="9" t="s">
        <v>48</v>
      </c>
      <c r="H5" s="9" t="s">
        <v>49</v>
      </c>
      <c r="I5" s="12" t="n">
        <v>218</v>
      </c>
      <c r="J5" s="12" t="n">
        <v>134</v>
      </c>
      <c r="K5" s="12" t="n">
        <v>38</v>
      </c>
      <c r="L5" s="9" t="s">
        <v>44</v>
      </c>
    </row>
    <row r="6" customFormat="false" ht="23.85" hidden="false" customHeight="false" outlineLevel="0" collapsed="false">
      <c r="A6" s="8" t="s">
        <v>50</v>
      </c>
      <c r="B6" s="8" t="s">
        <v>14</v>
      </c>
      <c r="C6" s="8" t="s">
        <v>51</v>
      </c>
      <c r="D6" s="8" t="s">
        <v>52</v>
      </c>
      <c r="E6" s="8" t="s">
        <v>40</v>
      </c>
      <c r="F6" s="8" t="s">
        <v>41</v>
      </c>
      <c r="G6" s="8" t="s">
        <v>53</v>
      </c>
      <c r="H6" s="8" t="s">
        <v>54</v>
      </c>
      <c r="I6" s="11" t="n">
        <v>456</v>
      </c>
      <c r="J6" s="11" t="n">
        <v>289</v>
      </c>
      <c r="K6" s="11" t="n">
        <v>72</v>
      </c>
      <c r="L6" s="8" t="s">
        <v>44</v>
      </c>
    </row>
    <row r="7" customFormat="false" ht="23.85" hidden="false" customHeight="false" outlineLevel="0" collapsed="false">
      <c r="A7" s="9" t="s">
        <v>55</v>
      </c>
      <c r="B7" s="9" t="s">
        <v>14</v>
      </c>
      <c r="C7" s="9" t="s">
        <v>56</v>
      </c>
      <c r="D7" s="9" t="s">
        <v>57</v>
      </c>
      <c r="E7" s="9" t="s">
        <v>58</v>
      </c>
      <c r="F7" s="9" t="s">
        <v>41</v>
      </c>
      <c r="G7" s="9" t="s">
        <v>59</v>
      </c>
      <c r="H7" s="9" t="s">
        <v>60</v>
      </c>
      <c r="I7" s="12" t="n">
        <v>124</v>
      </c>
      <c r="J7" s="12" t="n">
        <v>67</v>
      </c>
      <c r="K7" s="12" t="n">
        <v>19</v>
      </c>
      <c r="L7" s="9" t="s">
        <v>61</v>
      </c>
    </row>
    <row r="8" customFormat="false" ht="23.85" hidden="false" customHeight="false" outlineLevel="0" collapsed="false">
      <c r="A8" s="8" t="s">
        <v>62</v>
      </c>
      <c r="B8" s="8" t="s">
        <v>14</v>
      </c>
      <c r="C8" s="8" t="s">
        <v>63</v>
      </c>
      <c r="D8" s="8" t="s">
        <v>64</v>
      </c>
      <c r="E8" s="8" t="s">
        <v>58</v>
      </c>
      <c r="F8" s="8" t="s">
        <v>41</v>
      </c>
      <c r="G8" s="8" t="s">
        <v>65</v>
      </c>
      <c r="H8" s="8" t="s">
        <v>66</v>
      </c>
      <c r="I8" s="11" t="n">
        <v>287</v>
      </c>
      <c r="J8" s="11" t="n">
        <v>156</v>
      </c>
      <c r="K8" s="11" t="n">
        <v>41</v>
      </c>
      <c r="L8" s="8" t="s">
        <v>44</v>
      </c>
    </row>
    <row r="9" customFormat="false" ht="23.85" hidden="false" customHeight="false" outlineLevel="0" collapsed="false">
      <c r="A9" s="9" t="s">
        <v>67</v>
      </c>
      <c r="B9" s="9" t="s">
        <v>17</v>
      </c>
      <c r="C9" s="9" t="s">
        <v>68</v>
      </c>
      <c r="D9" s="9" t="s">
        <v>69</v>
      </c>
      <c r="E9" s="9" t="s">
        <v>40</v>
      </c>
      <c r="F9" s="9" t="s">
        <v>41</v>
      </c>
      <c r="G9" s="9" t="s">
        <v>65</v>
      </c>
      <c r="H9" s="9" t="s">
        <v>70</v>
      </c>
      <c r="I9" s="12" t="n">
        <v>534</v>
      </c>
      <c r="J9" s="12" t="n">
        <v>312</v>
      </c>
      <c r="K9" s="12" t="n">
        <v>89</v>
      </c>
      <c r="L9" s="9" t="s">
        <v>44</v>
      </c>
    </row>
    <row r="10" customFormat="false" ht="23.85" hidden="false" customHeight="false" outlineLevel="0" collapsed="false">
      <c r="A10" s="8" t="s">
        <v>71</v>
      </c>
      <c r="B10" s="8" t="s">
        <v>17</v>
      </c>
      <c r="C10" s="8" t="s">
        <v>72</v>
      </c>
      <c r="D10" s="8" t="s">
        <v>73</v>
      </c>
      <c r="E10" s="8" t="s">
        <v>40</v>
      </c>
      <c r="F10" s="8" t="s">
        <v>41</v>
      </c>
      <c r="G10" s="8" t="s">
        <v>74</v>
      </c>
      <c r="H10" s="8" t="s">
        <v>75</v>
      </c>
      <c r="I10" s="11" t="n">
        <v>198</v>
      </c>
      <c r="J10" s="11" t="n">
        <v>112</v>
      </c>
      <c r="K10" s="11" t="n">
        <v>34</v>
      </c>
      <c r="L10" s="8" t="s">
        <v>44</v>
      </c>
    </row>
    <row r="11" customFormat="false" ht="23.85" hidden="false" customHeight="false" outlineLevel="0" collapsed="false">
      <c r="A11" s="9" t="s">
        <v>76</v>
      </c>
      <c r="B11" s="9" t="s">
        <v>17</v>
      </c>
      <c r="C11" s="9" t="s">
        <v>77</v>
      </c>
      <c r="D11" s="9" t="s">
        <v>78</v>
      </c>
      <c r="E11" s="9" t="s">
        <v>40</v>
      </c>
      <c r="F11" s="9" t="s">
        <v>41</v>
      </c>
      <c r="G11" s="9" t="s">
        <v>79</v>
      </c>
      <c r="H11" s="9" t="s">
        <v>80</v>
      </c>
      <c r="I11" s="12" t="n">
        <v>367</v>
      </c>
      <c r="J11" s="12" t="n">
        <v>201</v>
      </c>
      <c r="K11" s="12" t="n">
        <v>58</v>
      </c>
      <c r="L11" s="9" t="s">
        <v>61</v>
      </c>
    </row>
    <row r="12" customFormat="false" ht="23.85" hidden="false" customHeight="false" outlineLevel="0" collapsed="false">
      <c r="A12" s="8" t="s">
        <v>81</v>
      </c>
      <c r="B12" s="8" t="s">
        <v>17</v>
      </c>
      <c r="C12" s="8" t="s">
        <v>82</v>
      </c>
      <c r="D12" s="8" t="s">
        <v>83</v>
      </c>
      <c r="E12" s="8" t="s">
        <v>58</v>
      </c>
      <c r="F12" s="8" t="s">
        <v>84</v>
      </c>
      <c r="G12" s="8" t="s">
        <v>85</v>
      </c>
      <c r="H12" s="8" t="s">
        <v>86</v>
      </c>
      <c r="I12" s="11" t="n">
        <v>145</v>
      </c>
      <c r="J12" s="11" t="n">
        <v>0</v>
      </c>
      <c r="K12" s="11" t="n">
        <v>0</v>
      </c>
      <c r="L12" s="8"/>
    </row>
    <row r="13" customFormat="false" ht="23.85" hidden="false" customHeight="false" outlineLevel="0" collapsed="false">
      <c r="A13" s="9" t="s">
        <v>87</v>
      </c>
      <c r="B13" s="9" t="s">
        <v>20</v>
      </c>
      <c r="C13" s="9" t="s">
        <v>88</v>
      </c>
      <c r="D13" s="9" t="s">
        <v>89</v>
      </c>
      <c r="E13" s="9" t="s">
        <v>58</v>
      </c>
      <c r="F13" s="9" t="s">
        <v>84</v>
      </c>
      <c r="G13" s="9" t="s">
        <v>48</v>
      </c>
      <c r="H13" s="9" t="s">
        <v>90</v>
      </c>
      <c r="I13" s="12" t="n">
        <v>89</v>
      </c>
      <c r="J13" s="12" t="n">
        <v>0</v>
      </c>
      <c r="K13" s="12" t="n">
        <v>0</v>
      </c>
      <c r="L13" s="9"/>
    </row>
    <row r="14" customFormat="false" ht="23.85" hidden="false" customHeight="false" outlineLevel="0" collapsed="false">
      <c r="A14" s="8" t="s">
        <v>91</v>
      </c>
      <c r="B14" s="8" t="s">
        <v>20</v>
      </c>
      <c r="C14" s="8" t="s">
        <v>92</v>
      </c>
      <c r="D14" s="8" t="s">
        <v>93</v>
      </c>
      <c r="E14" s="8" t="s">
        <v>58</v>
      </c>
      <c r="F14" s="8" t="s">
        <v>84</v>
      </c>
      <c r="G14" s="8" t="s">
        <v>65</v>
      </c>
      <c r="H14" s="8" t="s">
        <v>94</v>
      </c>
      <c r="I14" s="11" t="n">
        <v>76</v>
      </c>
      <c r="J14" s="11" t="n">
        <v>0</v>
      </c>
      <c r="K14" s="11" t="n">
        <v>0</v>
      </c>
      <c r="L14" s="8"/>
    </row>
    <row r="15" customFormat="false" ht="23.85" hidden="false" customHeight="false" outlineLevel="0" collapsed="false">
      <c r="A15" s="9" t="s">
        <v>95</v>
      </c>
      <c r="B15" s="9" t="s">
        <v>23</v>
      </c>
      <c r="C15" s="9" t="s">
        <v>96</v>
      </c>
      <c r="D15" s="9" t="s">
        <v>97</v>
      </c>
      <c r="E15" s="9" t="s">
        <v>58</v>
      </c>
      <c r="F15" s="9" t="s">
        <v>41</v>
      </c>
      <c r="G15" s="9" t="s">
        <v>98</v>
      </c>
      <c r="H15" s="9" t="s">
        <v>99</v>
      </c>
      <c r="I15" s="12" t="n">
        <v>312</v>
      </c>
      <c r="J15" s="12" t="n">
        <v>178</v>
      </c>
      <c r="K15" s="12" t="n">
        <v>45</v>
      </c>
      <c r="L15" s="9" t="s">
        <v>44</v>
      </c>
    </row>
    <row r="16" customFormat="false" ht="23.85" hidden="false" customHeight="false" outlineLevel="0" collapsed="false">
      <c r="A16" s="8" t="s">
        <v>100</v>
      </c>
      <c r="B16" s="8" t="s">
        <v>23</v>
      </c>
      <c r="C16" s="8" t="s">
        <v>101</v>
      </c>
      <c r="D16" s="8" t="s">
        <v>102</v>
      </c>
      <c r="E16" s="8" t="s">
        <v>40</v>
      </c>
      <c r="F16" s="8" t="s">
        <v>41</v>
      </c>
      <c r="G16" s="8" t="s">
        <v>65</v>
      </c>
      <c r="H16" s="8" t="s">
        <v>103</v>
      </c>
      <c r="I16" s="11" t="n">
        <v>167</v>
      </c>
      <c r="J16" s="11" t="n">
        <v>98</v>
      </c>
      <c r="K16" s="11" t="n">
        <v>27</v>
      </c>
      <c r="L16" s="8" t="s">
        <v>44</v>
      </c>
    </row>
    <row r="17" customFormat="false" ht="15" hidden="false" customHeight="false" outlineLevel="0" collapsed="false">
      <c r="A17" s="13" t="s">
        <v>104</v>
      </c>
      <c r="I17" s="14" t="n">
        <f aca="false">SUM(I4:I16)</f>
        <v>3315</v>
      </c>
      <c r="J17" s="14" t="n">
        <f aca="false">SUM(J4:J16)</f>
        <v>1734</v>
      </c>
      <c r="K17" s="14" t="n">
        <f aca="false">SUM(K4:K16)</f>
        <v>479</v>
      </c>
    </row>
  </sheetData>
  <mergeCells count="1">
    <mergeCell ref="A1:L1"/>
  </mergeCells>
  <dataValidations count="3">
    <dataValidation allowBlank="true" error="Select High, Medium, or Low" errorStyle="stop" operator="between" showDropDown="false" showErrorMessage="false" showInputMessage="false" sqref="E4:E103" type="list">
      <formula1>"High,Medium,Low"</formula1>
      <formula2>0</formula2>
    </dataValidation>
    <dataValidation allowBlank="true" errorStyle="stop" operator="between" showDropDown="false" showErrorMessage="false" showInputMessage="false" sqref="F4:F103" type="list">
      <formula1>"Active,Planned,On Hold,Completed"</formula1>
      <formula2>0</formula2>
    </dataValidation>
    <dataValidation allowBlank="true" errorStyle="stop" operator="between" showDropDown="false" showErrorMessage="false" showInputMessage="false" sqref="B4:B103" type="list">
      <formula1>"PTSD,Depression,Anxiety,Cross-Condition"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24"/>
    <col collapsed="false" customWidth="true" hidden="false" outlineLevel="0" max="5" min="5" style="0" width="52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60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0" t="s">
        <v>106</v>
      </c>
    </row>
    <row r="3" customFormat="false" ht="26.85" hidden="false" customHeight="false" outlineLevel="0" collapsed="false">
      <c r="A3" s="7" t="s">
        <v>107</v>
      </c>
      <c r="B3" s="7" t="s">
        <v>108</v>
      </c>
      <c r="C3" s="7" t="s">
        <v>10</v>
      </c>
      <c r="D3" s="7" t="s">
        <v>29</v>
      </c>
      <c r="E3" s="7" t="s">
        <v>109</v>
      </c>
      <c r="F3" s="7" t="s">
        <v>110</v>
      </c>
      <c r="G3" s="7" t="s">
        <v>111</v>
      </c>
      <c r="H3" s="7" t="s">
        <v>112</v>
      </c>
      <c r="I3" s="7" t="s">
        <v>113</v>
      </c>
      <c r="J3" s="7" t="s">
        <v>114</v>
      </c>
      <c r="K3" s="7" t="s">
        <v>115</v>
      </c>
      <c r="L3" s="7" t="s">
        <v>116</v>
      </c>
      <c r="M3" s="7" t="s">
        <v>117</v>
      </c>
    </row>
    <row r="4" customFormat="false" ht="23.85" hidden="false" customHeight="false" outlineLevel="0" collapsed="false">
      <c r="A4" s="8" t="s">
        <v>118</v>
      </c>
      <c r="B4" s="8" t="s">
        <v>44</v>
      </c>
      <c r="C4" s="8" t="s">
        <v>14</v>
      </c>
      <c r="D4" s="8" t="s">
        <v>38</v>
      </c>
      <c r="E4" s="8" t="s">
        <v>119</v>
      </c>
      <c r="F4" s="8" t="s">
        <v>120</v>
      </c>
      <c r="G4" s="8" t="s">
        <v>121</v>
      </c>
      <c r="H4" s="15" t="n">
        <v>0.92</v>
      </c>
      <c r="I4" s="8" t="n">
        <v>3</v>
      </c>
      <c r="J4" s="11" t="n">
        <v>218</v>
      </c>
      <c r="K4" s="8" t="s">
        <v>122</v>
      </c>
      <c r="L4" s="8" t="s">
        <v>123</v>
      </c>
      <c r="M4" s="8" t="s">
        <v>40</v>
      </c>
    </row>
    <row r="5" customFormat="false" ht="23.85" hidden="false" customHeight="false" outlineLevel="0" collapsed="false">
      <c r="A5" s="9" t="s">
        <v>124</v>
      </c>
      <c r="B5" s="9" t="s">
        <v>44</v>
      </c>
      <c r="C5" s="9" t="s">
        <v>17</v>
      </c>
      <c r="D5" s="9" t="s">
        <v>72</v>
      </c>
      <c r="E5" s="9" t="s">
        <v>125</v>
      </c>
      <c r="F5" s="9" t="s">
        <v>126</v>
      </c>
      <c r="G5" s="9" t="s">
        <v>127</v>
      </c>
      <c r="H5" s="16" t="n">
        <v>0.85</v>
      </c>
      <c r="I5" s="9" t="n">
        <v>2</v>
      </c>
      <c r="J5" s="12" t="n">
        <v>1847</v>
      </c>
      <c r="K5" s="9" t="s">
        <v>128</v>
      </c>
      <c r="L5" s="9" t="s">
        <v>123</v>
      </c>
      <c r="M5" s="9" t="s">
        <v>40</v>
      </c>
    </row>
    <row r="6" customFormat="false" ht="23.85" hidden="false" customHeight="false" outlineLevel="0" collapsed="false">
      <c r="A6" s="8" t="s">
        <v>129</v>
      </c>
      <c r="B6" s="8" t="s">
        <v>44</v>
      </c>
      <c r="C6" s="8" t="s">
        <v>20</v>
      </c>
      <c r="D6" s="8" t="s">
        <v>88</v>
      </c>
      <c r="E6" s="8" t="s">
        <v>130</v>
      </c>
      <c r="F6" s="8" t="s">
        <v>131</v>
      </c>
      <c r="G6" s="8" t="s">
        <v>121</v>
      </c>
      <c r="H6" s="15" t="n">
        <v>0.88</v>
      </c>
      <c r="I6" s="8" t="n">
        <v>2</v>
      </c>
      <c r="J6" s="11" t="n">
        <v>3200</v>
      </c>
      <c r="K6" s="8" t="s">
        <v>132</v>
      </c>
      <c r="L6" s="8" t="s">
        <v>123</v>
      </c>
      <c r="M6" s="8" t="s">
        <v>40</v>
      </c>
    </row>
    <row r="7" customFormat="false" ht="23.85" hidden="false" customHeight="false" outlineLevel="0" collapsed="false">
      <c r="A7" s="9" t="s">
        <v>133</v>
      </c>
      <c r="B7" s="9" t="s">
        <v>44</v>
      </c>
      <c r="C7" s="9" t="s">
        <v>23</v>
      </c>
      <c r="D7" s="9" t="s">
        <v>101</v>
      </c>
      <c r="E7" s="9" t="s">
        <v>134</v>
      </c>
      <c r="F7" s="9" t="s">
        <v>135</v>
      </c>
      <c r="G7" s="9" t="s">
        <v>136</v>
      </c>
      <c r="H7" s="16" t="n">
        <v>0.74</v>
      </c>
      <c r="I7" s="9" t="n">
        <v>1</v>
      </c>
      <c r="J7" s="12" t="n">
        <v>0</v>
      </c>
      <c r="K7" s="9" t="s">
        <v>137</v>
      </c>
      <c r="L7" s="9" t="s">
        <v>138</v>
      </c>
      <c r="M7" s="9" t="s">
        <v>58</v>
      </c>
    </row>
    <row r="8" customFormat="false" ht="23.85" hidden="false" customHeight="false" outlineLevel="0" collapsed="false">
      <c r="A8" s="8" t="s">
        <v>139</v>
      </c>
      <c r="B8" s="8" t="s">
        <v>44</v>
      </c>
      <c r="C8" s="8" t="s">
        <v>14</v>
      </c>
      <c r="D8" s="8" t="s">
        <v>51</v>
      </c>
      <c r="E8" s="8" t="s">
        <v>140</v>
      </c>
      <c r="F8" s="8" t="s">
        <v>141</v>
      </c>
      <c r="G8" s="8" t="s">
        <v>142</v>
      </c>
      <c r="H8" s="15" t="n">
        <v>0.81</v>
      </c>
      <c r="I8" s="8" t="n">
        <v>2</v>
      </c>
      <c r="J8" s="11" t="n">
        <v>340</v>
      </c>
      <c r="K8" s="8" t="s">
        <v>143</v>
      </c>
      <c r="L8" s="8" t="s">
        <v>123</v>
      </c>
      <c r="M8" s="8" t="s">
        <v>58</v>
      </c>
    </row>
    <row r="9" customFormat="false" ht="23.85" hidden="false" customHeight="false" outlineLevel="0" collapsed="false">
      <c r="A9" s="9" t="s">
        <v>144</v>
      </c>
      <c r="B9" s="9" t="s">
        <v>61</v>
      </c>
      <c r="C9" s="9" t="s">
        <v>17</v>
      </c>
      <c r="D9" s="9" t="s">
        <v>77</v>
      </c>
      <c r="E9" s="9" t="s">
        <v>145</v>
      </c>
      <c r="F9" s="9" t="s">
        <v>146</v>
      </c>
      <c r="G9" s="9" t="s">
        <v>147</v>
      </c>
      <c r="H9" s="16" t="n">
        <v>0.79</v>
      </c>
      <c r="I9" s="9" t="n">
        <v>2</v>
      </c>
      <c r="J9" s="12" t="n">
        <v>1200</v>
      </c>
      <c r="K9" s="9" t="s">
        <v>148</v>
      </c>
      <c r="L9" s="9" t="s">
        <v>138</v>
      </c>
      <c r="M9" s="9" t="s">
        <v>58</v>
      </c>
    </row>
    <row r="10" customFormat="false" ht="23.85" hidden="false" customHeight="false" outlineLevel="0" collapsed="false">
      <c r="A10" s="8" t="s">
        <v>149</v>
      </c>
      <c r="B10" s="8" t="s">
        <v>61</v>
      </c>
      <c r="C10" s="8" t="s">
        <v>14</v>
      </c>
      <c r="D10" s="8" t="s">
        <v>63</v>
      </c>
      <c r="E10" s="8" t="s">
        <v>150</v>
      </c>
      <c r="F10" s="8" t="s">
        <v>151</v>
      </c>
      <c r="G10" s="8" t="s">
        <v>152</v>
      </c>
      <c r="H10" s="15" t="n">
        <v>0.72</v>
      </c>
      <c r="I10" s="8" t="n">
        <v>1</v>
      </c>
      <c r="J10" s="11" t="n">
        <v>156</v>
      </c>
      <c r="K10" s="8" t="s">
        <v>153</v>
      </c>
      <c r="L10" s="8" t="s">
        <v>123</v>
      </c>
      <c r="M10" s="8" t="s">
        <v>154</v>
      </c>
    </row>
    <row r="11" customFormat="false" ht="23.85" hidden="false" customHeight="false" outlineLevel="0" collapsed="false">
      <c r="A11" s="9" t="s">
        <v>155</v>
      </c>
      <c r="B11" s="9" t="s">
        <v>61</v>
      </c>
      <c r="C11" s="9" t="s">
        <v>23</v>
      </c>
      <c r="D11" s="9" t="s">
        <v>96</v>
      </c>
      <c r="E11" s="9" t="s">
        <v>156</v>
      </c>
      <c r="F11" s="9" t="s">
        <v>157</v>
      </c>
      <c r="G11" s="9" t="s">
        <v>127</v>
      </c>
      <c r="H11" s="16" t="n">
        <v>0.9</v>
      </c>
      <c r="I11" s="9" t="n">
        <v>2</v>
      </c>
      <c r="J11" s="12" t="n">
        <v>892000</v>
      </c>
      <c r="K11" s="9" t="s">
        <v>158</v>
      </c>
      <c r="L11" s="9" t="s">
        <v>123</v>
      </c>
      <c r="M11" s="9" t="s">
        <v>40</v>
      </c>
    </row>
  </sheetData>
  <mergeCells count="1">
    <mergeCell ref="A1:M1"/>
  </mergeCells>
  <dataValidations count="3">
    <dataValidation allowBlank="true" errorStyle="stop" operator="between" showDropDown="false" showErrorMessage="false" showInputMessage="false" sqref="G4:G1011" type="list">
      <formula1>"RCT,Meta-Analysis,Systematic Review,Observational,Longitudinal,Cross-Sectional,Case Study,Preprint"</formula1>
      <formula2>0</formula2>
    </dataValidation>
    <dataValidation allowBlank="true" errorStyle="stop" operator="between" showDropDown="false" showErrorMessage="false" showInputMessage="false" sqref="L4:L1011" type="list">
      <formula1>"No,Yes,Partially"</formula1>
      <formula2>0</formula2>
    </dataValidation>
    <dataValidation allowBlank="true" errorStyle="stop" operator="between" showDropDown="false" showErrorMessage="false" showInputMessage="false" sqref="M4:M101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" t="s">
        <v>159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7" t="s">
        <v>160</v>
      </c>
    </row>
    <row r="4" customFormat="false" ht="15" hidden="false" customHeight="false" outlineLevel="0" collapsed="false">
      <c r="A4" s="18" t="s">
        <v>161</v>
      </c>
      <c r="B4" s="19" t="n">
        <v>0.987</v>
      </c>
    </row>
    <row r="5" customFormat="false" ht="15" hidden="false" customHeight="false" outlineLevel="0" collapsed="false">
      <c r="A5" s="18" t="s">
        <v>162</v>
      </c>
      <c r="B5" s="20" t="n">
        <v>168</v>
      </c>
    </row>
    <row r="6" customFormat="false" ht="15" hidden="false" customHeight="false" outlineLevel="0" collapsed="false">
      <c r="A6" s="18" t="s">
        <v>163</v>
      </c>
      <c r="B6" s="20" t="n">
        <v>12</v>
      </c>
    </row>
    <row r="7" customFormat="false" ht="15" hidden="false" customHeight="false" outlineLevel="0" collapsed="false">
      <c r="A7" s="18" t="s">
        <v>164</v>
      </c>
      <c r="B7" s="21" t="n">
        <v>4.2</v>
      </c>
    </row>
    <row r="8" customFormat="false" ht="15" hidden="false" customHeight="false" outlineLevel="0" collapsed="false">
      <c r="A8" s="18" t="s">
        <v>165</v>
      </c>
      <c r="B8" s="19" t="n">
        <v>0.03</v>
      </c>
    </row>
    <row r="9" customFormat="false" ht="15" hidden="false" customHeight="false" outlineLevel="0" collapsed="false">
      <c r="A9" s="18" t="s">
        <v>166</v>
      </c>
      <c r="B9" s="19" t="n">
        <v>0.83</v>
      </c>
    </row>
    <row r="12" customFormat="false" ht="15" hidden="false" customHeight="false" outlineLevel="0" collapsed="false">
      <c r="A12" s="17" t="s">
        <v>167</v>
      </c>
    </row>
    <row r="13" customFormat="false" ht="26.85" hidden="false" customHeight="false" outlineLevel="0" collapsed="false">
      <c r="A13" s="7" t="s">
        <v>168</v>
      </c>
      <c r="B13" s="7" t="s">
        <v>11</v>
      </c>
      <c r="C13" s="7" t="s">
        <v>169</v>
      </c>
      <c r="D13" s="7" t="s">
        <v>170</v>
      </c>
      <c r="E13" s="7" t="s">
        <v>171</v>
      </c>
      <c r="F13" s="7" t="s">
        <v>172</v>
      </c>
      <c r="G13" s="7" t="s">
        <v>173</v>
      </c>
      <c r="H13" s="7" t="s">
        <v>174</v>
      </c>
    </row>
    <row r="14" customFormat="false" ht="15" hidden="false" customHeight="false" outlineLevel="0" collapsed="false">
      <c r="A14" s="8" t="s">
        <v>175</v>
      </c>
      <c r="B14" s="8" t="s">
        <v>41</v>
      </c>
      <c r="C14" s="8" t="n">
        <v>45</v>
      </c>
      <c r="D14" s="8" t="n">
        <v>45</v>
      </c>
      <c r="E14" s="22" t="n">
        <f aca="false">D14/C14</f>
        <v>1</v>
      </c>
      <c r="F14" s="8" t="n">
        <v>0.5</v>
      </c>
      <c r="G14" s="8" t="n">
        <v>0</v>
      </c>
      <c r="H14" s="22" t="n">
        <f aca="false">G14/C14</f>
        <v>0</v>
      </c>
    </row>
    <row r="15" customFormat="false" ht="15" hidden="false" customHeight="false" outlineLevel="0" collapsed="false">
      <c r="A15" s="9" t="s">
        <v>176</v>
      </c>
      <c r="B15" s="9" t="s">
        <v>41</v>
      </c>
      <c r="C15" s="9" t="n">
        <v>228</v>
      </c>
      <c r="D15" s="9" t="n">
        <v>225</v>
      </c>
      <c r="E15" s="23" t="n">
        <f aca="false">D15/C15</f>
        <v>0.986842105263158</v>
      </c>
      <c r="F15" s="9" t="n">
        <v>2.1</v>
      </c>
      <c r="G15" s="9" t="n">
        <v>3</v>
      </c>
      <c r="H15" s="23" t="n">
        <f aca="false">G15/C15</f>
        <v>0.0131578947368421</v>
      </c>
    </row>
    <row r="16" customFormat="false" ht="15" hidden="false" customHeight="false" outlineLevel="0" collapsed="false">
      <c r="A16" s="8" t="s">
        <v>177</v>
      </c>
      <c r="B16" s="8" t="s">
        <v>41</v>
      </c>
      <c r="C16" s="8" t="n">
        <v>5</v>
      </c>
      <c r="D16" s="8" t="n">
        <v>5</v>
      </c>
      <c r="E16" s="22" t="n">
        <f aca="false">D16/C16</f>
        <v>1</v>
      </c>
      <c r="F16" s="8" t="n">
        <v>18.3</v>
      </c>
      <c r="G16" s="8" t="n">
        <v>0</v>
      </c>
      <c r="H16" s="22" t="n">
        <f aca="false">G16/C16</f>
        <v>0</v>
      </c>
    </row>
    <row r="17" customFormat="false" ht="15" hidden="false" customHeight="false" outlineLevel="0" collapsed="false">
      <c r="A17" s="9" t="s">
        <v>178</v>
      </c>
      <c r="B17" s="9" t="s">
        <v>41</v>
      </c>
      <c r="C17" s="9" t="n">
        <v>4</v>
      </c>
      <c r="D17" s="9" t="n">
        <v>4</v>
      </c>
      <c r="E17" s="23" t="n">
        <f aca="false">D17/C17</f>
        <v>1</v>
      </c>
      <c r="F17" s="9" t="n">
        <v>22.1</v>
      </c>
      <c r="G17" s="9" t="n">
        <v>0</v>
      </c>
      <c r="H17" s="23" t="n">
        <f aca="false">G17/C17</f>
        <v>0</v>
      </c>
    </row>
    <row r="18" customFormat="false" ht="15" hidden="false" customHeight="false" outlineLevel="0" collapsed="false">
      <c r="A18" s="8" t="s">
        <v>179</v>
      </c>
      <c r="B18" s="8" t="s">
        <v>41</v>
      </c>
      <c r="C18" s="8" t="n">
        <v>5</v>
      </c>
      <c r="D18" s="8" t="n">
        <v>4</v>
      </c>
      <c r="E18" s="22" t="n">
        <f aca="false">D18/C18</f>
        <v>0.8</v>
      </c>
      <c r="F18" s="8" t="n">
        <v>19.7</v>
      </c>
      <c r="G18" s="8" t="n">
        <v>1</v>
      </c>
      <c r="H18" s="22" t="n">
        <f aca="false">G18/C18</f>
        <v>0.2</v>
      </c>
    </row>
    <row r="19" customFormat="false" ht="15" hidden="false" customHeight="false" outlineLevel="0" collapsed="false">
      <c r="A19" s="9" t="s">
        <v>180</v>
      </c>
      <c r="B19" s="9" t="s">
        <v>181</v>
      </c>
      <c r="C19" s="9" t="n">
        <v>1</v>
      </c>
      <c r="D19" s="9" t="n">
        <v>0</v>
      </c>
      <c r="E19" s="23" t="n">
        <f aca="false">IF(C19=0,0,D19/C19)</f>
        <v>0</v>
      </c>
      <c r="F19" s="9" t="n">
        <v>0</v>
      </c>
      <c r="G19" s="9" t="n">
        <v>0</v>
      </c>
      <c r="H19" s="23" t="n">
        <f aca="false">IF(C19=0,0,G19/C19)</f>
        <v>0</v>
      </c>
    </row>
    <row r="20" customFormat="false" ht="15" hidden="false" customHeight="false" outlineLevel="0" collapsed="false">
      <c r="A20" s="8" t="s">
        <v>182</v>
      </c>
      <c r="B20" s="8" t="s">
        <v>183</v>
      </c>
      <c r="C20" s="8" t="n">
        <v>0</v>
      </c>
      <c r="D20" s="8" t="n">
        <v>0</v>
      </c>
      <c r="E20" s="22" t="n">
        <f aca="false">IF(C20=0,0,D20/C20)</f>
        <v>0</v>
      </c>
      <c r="F20" s="8" t="n">
        <v>0</v>
      </c>
      <c r="G20" s="8" t="n">
        <v>0</v>
      </c>
      <c r="H20" s="22" t="n">
        <f aca="false">IF(C20=0,0,G20/C20)</f>
        <v>0</v>
      </c>
    </row>
    <row r="21" customFormat="false" ht="15" hidden="false" customHeight="false" outlineLevel="0" collapsed="false">
      <c r="A21" s="9" t="s">
        <v>184</v>
      </c>
      <c r="B21" s="9" t="s">
        <v>41</v>
      </c>
      <c r="C21" s="9" t="n">
        <v>3</v>
      </c>
      <c r="D21" s="9" t="n">
        <v>3</v>
      </c>
      <c r="E21" s="23" t="n">
        <f aca="false">D21/C21</f>
        <v>1</v>
      </c>
      <c r="F21" s="9" t="n">
        <v>8.4</v>
      </c>
      <c r="G21" s="9" t="n">
        <v>0</v>
      </c>
      <c r="H21" s="23" t="n">
        <f aca="false">G21/C21</f>
        <v>0</v>
      </c>
    </row>
    <row r="22" customFormat="false" ht="15" hidden="false" customHeight="false" outlineLevel="0" collapsed="false">
      <c r="A22" s="24" t="s">
        <v>104</v>
      </c>
      <c r="C22" s="24" t="n">
        <f aca="false">SUM(C14:C21)</f>
        <v>291</v>
      </c>
      <c r="D22" s="24" t="n">
        <f aca="false">SUM(D14:D21)</f>
        <v>286</v>
      </c>
      <c r="E22" s="25" t="n">
        <f aca="false">IF(C22=0,0,D22/C22)</f>
        <v>0.982817869415808</v>
      </c>
      <c r="G22" s="24" t="n">
        <f aca="false">SUM(G14:G21)</f>
        <v>4</v>
      </c>
      <c r="H22" s="25" t="n">
        <f aca="false">IF(C22=0,0,G22/C22)</f>
        <v>0.013745704467354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1" t="s">
        <v>185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7" t="s">
        <v>186</v>
      </c>
    </row>
    <row r="4" customFormat="false" ht="15" hidden="false" customHeight="false" outlineLevel="0" collapsed="false">
      <c r="A4" s="18" t="s">
        <v>187</v>
      </c>
      <c r="B4" s="20" t="n">
        <v>2340</v>
      </c>
    </row>
    <row r="5" customFormat="false" ht="15" hidden="false" customHeight="false" outlineLevel="0" collapsed="false">
      <c r="A5" s="18" t="s">
        <v>188</v>
      </c>
      <c r="B5" s="19" t="n">
        <v>0.42</v>
      </c>
    </row>
    <row r="6" customFormat="false" ht="15" hidden="false" customHeight="false" outlineLevel="0" collapsed="false">
      <c r="A6" s="18" t="s">
        <v>189</v>
      </c>
      <c r="B6" s="19" t="n">
        <v>0.18</v>
      </c>
    </row>
    <row r="7" customFormat="false" ht="15" hidden="false" customHeight="false" outlineLevel="0" collapsed="false">
      <c r="A7" s="18" t="s">
        <v>190</v>
      </c>
      <c r="B7" s="20" t="n">
        <v>187</v>
      </c>
    </row>
    <row r="8" customFormat="false" ht="15" hidden="false" customHeight="false" outlineLevel="0" collapsed="false">
      <c r="A8" s="18" t="s">
        <v>191</v>
      </c>
      <c r="B8" s="19" t="n">
        <v>0.008</v>
      </c>
    </row>
    <row r="9" customFormat="false" ht="15" hidden="false" customHeight="false" outlineLevel="0" collapsed="false">
      <c r="A9" s="18" t="s">
        <v>192</v>
      </c>
      <c r="B9" s="26" t="s">
        <v>14</v>
      </c>
    </row>
    <row r="12" customFormat="false" ht="15" hidden="false" customHeight="false" outlineLevel="0" collapsed="false">
      <c r="A12" s="17" t="s">
        <v>193</v>
      </c>
    </row>
    <row r="13" customFormat="false" ht="26.85" hidden="false" customHeight="false" outlineLevel="0" collapsed="false">
      <c r="A13" s="7" t="s">
        <v>194</v>
      </c>
      <c r="B13" s="7" t="s">
        <v>195</v>
      </c>
      <c r="C13" s="7" t="s">
        <v>196</v>
      </c>
      <c r="D13" s="7" t="s">
        <v>197</v>
      </c>
      <c r="E13" s="7" t="s">
        <v>198</v>
      </c>
      <c r="F13" s="7" t="s">
        <v>199</v>
      </c>
      <c r="G13" s="7" t="s">
        <v>200</v>
      </c>
      <c r="H13" s="7" t="s">
        <v>201</v>
      </c>
      <c r="I13" s="7" t="s">
        <v>202</v>
      </c>
    </row>
    <row r="14" customFormat="false" ht="15" hidden="false" customHeight="false" outlineLevel="0" collapsed="false">
      <c r="A14" s="8" t="s">
        <v>203</v>
      </c>
      <c r="B14" s="11" t="n">
        <v>1890</v>
      </c>
      <c r="C14" s="11" t="n">
        <v>756</v>
      </c>
      <c r="D14" s="22" t="n">
        <f aca="false">C14/B14</f>
        <v>0.4</v>
      </c>
      <c r="E14" s="11" t="n">
        <v>302</v>
      </c>
      <c r="F14" s="22" t="n">
        <f aca="false">E14/B14</f>
        <v>0.15978835978836</v>
      </c>
      <c r="G14" s="11" t="n">
        <v>210</v>
      </c>
      <c r="H14" s="11" t="n">
        <v>15</v>
      </c>
      <c r="I14" s="11" t="n">
        <f aca="false">G14-H14</f>
        <v>195</v>
      </c>
    </row>
    <row r="15" customFormat="false" ht="15" hidden="false" customHeight="false" outlineLevel="0" collapsed="false">
      <c r="A15" s="9" t="s">
        <v>204</v>
      </c>
      <c r="B15" s="12" t="n">
        <v>2085</v>
      </c>
      <c r="C15" s="12" t="n">
        <v>876</v>
      </c>
      <c r="D15" s="23" t="n">
        <f aca="false">C15/B15</f>
        <v>0.420143884892086</v>
      </c>
      <c r="E15" s="12" t="n">
        <v>397</v>
      </c>
      <c r="F15" s="23" t="n">
        <f aca="false">E15/B15</f>
        <v>0.190407673860911</v>
      </c>
      <c r="G15" s="12" t="n">
        <v>225</v>
      </c>
      <c r="H15" s="12" t="n">
        <v>18</v>
      </c>
      <c r="I15" s="12" t="n">
        <f aca="false">G15-H15</f>
        <v>207</v>
      </c>
    </row>
    <row r="16" customFormat="false" ht="15" hidden="false" customHeight="false" outlineLevel="0" collapsed="false">
      <c r="A16" s="8" t="s">
        <v>205</v>
      </c>
      <c r="B16" s="11" t="n">
        <v>2292</v>
      </c>
      <c r="C16" s="11" t="n">
        <v>985</v>
      </c>
      <c r="D16" s="22" t="n">
        <f aca="false">C16/B16</f>
        <v>0.429755671902269</v>
      </c>
      <c r="E16" s="11" t="n">
        <v>436</v>
      </c>
      <c r="F16" s="22" t="n">
        <f aca="false">E16/B16</f>
        <v>0.19022687609075</v>
      </c>
      <c r="G16" s="11" t="n">
        <v>240</v>
      </c>
      <c r="H16" s="11" t="n">
        <v>12</v>
      </c>
      <c r="I16" s="11" t="n">
        <f aca="false">G16-H16</f>
        <v>228</v>
      </c>
    </row>
    <row r="19" customFormat="false" ht="15" hidden="false" customHeight="false" outlineLevel="0" collapsed="false">
      <c r="A19" s="17" t="s">
        <v>206</v>
      </c>
    </row>
    <row r="20" customFormat="false" ht="26.85" hidden="false" customHeight="false" outlineLevel="0" collapsed="false">
      <c r="A20" s="7" t="s">
        <v>207</v>
      </c>
      <c r="B20" s="7" t="s">
        <v>208</v>
      </c>
      <c r="C20" s="7" t="s">
        <v>209</v>
      </c>
      <c r="D20" s="7" t="s">
        <v>210</v>
      </c>
      <c r="E20" s="7" t="s">
        <v>211</v>
      </c>
      <c r="F20" s="7" t="s">
        <v>212</v>
      </c>
      <c r="G20" s="7" t="s">
        <v>213</v>
      </c>
    </row>
    <row r="21" customFormat="false" ht="15" hidden="false" customHeight="false" outlineLevel="0" collapsed="false">
      <c r="A21" s="8" t="s">
        <v>214</v>
      </c>
      <c r="B21" s="11" t="n">
        <v>1250</v>
      </c>
      <c r="C21" s="11" t="n">
        <v>62</v>
      </c>
      <c r="D21" s="11" t="n">
        <v>45000</v>
      </c>
      <c r="E21" s="11" t="n">
        <v>3200</v>
      </c>
      <c r="F21" s="22" t="n">
        <f aca="false">E21/D21</f>
        <v>0.0711111111111111</v>
      </c>
      <c r="G21" s="8" t="s">
        <v>215</v>
      </c>
    </row>
    <row r="22" customFormat="false" ht="15" hidden="false" customHeight="false" outlineLevel="0" collapsed="false">
      <c r="A22" s="9" t="s">
        <v>216</v>
      </c>
      <c r="B22" s="12" t="n">
        <v>890</v>
      </c>
      <c r="C22" s="12" t="n">
        <v>30</v>
      </c>
      <c r="D22" s="12" t="n">
        <v>28000</v>
      </c>
      <c r="E22" s="12" t="n">
        <v>2100</v>
      </c>
      <c r="F22" s="23" t="n">
        <f aca="false">E22/D22</f>
        <v>0.075</v>
      </c>
      <c r="G22" s="9" t="s">
        <v>217</v>
      </c>
    </row>
    <row r="23" customFormat="false" ht="15" hidden="false" customHeight="false" outlineLevel="0" collapsed="false">
      <c r="A23" s="8" t="s">
        <v>218</v>
      </c>
      <c r="B23" s="11" t="n">
        <v>2100</v>
      </c>
      <c r="C23" s="11" t="n">
        <v>45</v>
      </c>
      <c r="D23" s="11" t="n">
        <v>67000</v>
      </c>
      <c r="E23" s="11" t="n">
        <v>8500</v>
      </c>
      <c r="F23" s="22" t="n">
        <f aca="false">E23/D23</f>
        <v>0.126865671641791</v>
      </c>
      <c r="G23" s="8" t="s">
        <v>219</v>
      </c>
    </row>
    <row r="24" customFormat="false" ht="15" hidden="false" customHeight="false" outlineLevel="0" collapsed="false">
      <c r="A24" s="24" t="s">
        <v>220</v>
      </c>
      <c r="B24" s="14" t="n">
        <f aca="false">SUM(B21:B23)</f>
        <v>4240</v>
      </c>
      <c r="C24" s="14" t="n">
        <f aca="false">SUM(C21:C23)</f>
        <v>137</v>
      </c>
      <c r="D24" s="14" t="n">
        <f aca="false">SUM(D21:D23)</f>
        <v>140000</v>
      </c>
      <c r="E24" s="14" t="n">
        <f aca="false">SUM(E21:E23)</f>
        <v>13800</v>
      </c>
      <c r="F24" s="27" t="n">
        <f aca="false">IF(D24=0,0,E24/D24)</f>
        <v>0.0985714285714286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1" t="s">
        <v>221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17" t="s">
        <v>222</v>
      </c>
    </row>
    <row r="4" customFormat="false" ht="26.85" hidden="false" customHeight="false" outlineLevel="0" collapsed="false">
      <c r="A4" s="7" t="s">
        <v>223</v>
      </c>
      <c r="B4" s="7" t="s">
        <v>224</v>
      </c>
      <c r="C4" s="7" t="s">
        <v>225</v>
      </c>
      <c r="D4" s="7" t="s">
        <v>226</v>
      </c>
      <c r="E4" s="7" t="s">
        <v>227</v>
      </c>
      <c r="F4" s="7" t="s">
        <v>228</v>
      </c>
      <c r="G4" s="7" t="s">
        <v>229</v>
      </c>
      <c r="H4" s="7" t="s">
        <v>230</v>
      </c>
      <c r="I4" s="7" t="s">
        <v>231</v>
      </c>
      <c r="J4" s="7" t="s">
        <v>232</v>
      </c>
      <c r="K4" s="7" t="s">
        <v>233</v>
      </c>
      <c r="L4" s="7" t="s">
        <v>234</v>
      </c>
      <c r="M4" s="7" t="s">
        <v>235</v>
      </c>
      <c r="N4" s="7" t="s">
        <v>236</v>
      </c>
    </row>
    <row r="5" customFormat="false" ht="15" hidden="false" customHeight="false" outlineLevel="0" collapsed="false">
      <c r="A5" s="8" t="s">
        <v>237</v>
      </c>
      <c r="B5" s="28" t="n">
        <v>0</v>
      </c>
      <c r="C5" s="28" t="n">
        <v>0</v>
      </c>
      <c r="D5" s="28" t="n">
        <v>0</v>
      </c>
      <c r="E5" s="28" t="n">
        <v>0</v>
      </c>
      <c r="F5" s="28" t="n">
        <v>5000</v>
      </c>
      <c r="G5" s="28" t="n">
        <v>5000</v>
      </c>
      <c r="H5" s="28" t="n">
        <v>0</v>
      </c>
      <c r="I5" s="28" t="n">
        <v>0</v>
      </c>
      <c r="J5" s="28" t="n">
        <v>5000</v>
      </c>
      <c r="K5" s="28" t="n">
        <v>5000</v>
      </c>
      <c r="L5" s="28" t="n">
        <v>0</v>
      </c>
      <c r="M5" s="28" t="n">
        <v>5000</v>
      </c>
      <c r="N5" s="29" t="n">
        <f aca="false">SUM(B5:M5)</f>
        <v>25000</v>
      </c>
    </row>
    <row r="6" customFormat="false" ht="15" hidden="false" customHeight="false" outlineLevel="0" collapsed="false">
      <c r="A6" s="9" t="s">
        <v>238</v>
      </c>
      <c r="B6" s="28" t="n">
        <v>500</v>
      </c>
      <c r="C6" s="28" t="n">
        <v>500</v>
      </c>
      <c r="D6" s="28" t="n">
        <v>750</v>
      </c>
      <c r="E6" s="28" t="n">
        <v>750</v>
      </c>
      <c r="F6" s="28" t="n">
        <v>1000</v>
      </c>
      <c r="G6" s="28" t="n">
        <v>1000</v>
      </c>
      <c r="H6" s="28" t="n">
        <v>1250</v>
      </c>
      <c r="I6" s="28" t="n">
        <v>1250</v>
      </c>
      <c r="J6" s="28" t="n">
        <v>1500</v>
      </c>
      <c r="K6" s="28" t="n">
        <v>1500</v>
      </c>
      <c r="L6" s="28" t="n">
        <v>2000</v>
      </c>
      <c r="M6" s="28" t="n">
        <v>3000</v>
      </c>
      <c r="N6" s="30" t="n">
        <f aca="false">SUM(B6:M6)</f>
        <v>15000</v>
      </c>
    </row>
    <row r="7" customFormat="false" ht="15" hidden="false" customHeight="false" outlineLevel="0" collapsed="false">
      <c r="A7" s="8" t="s">
        <v>239</v>
      </c>
      <c r="B7" s="28" t="n">
        <v>0</v>
      </c>
      <c r="C7" s="28" t="n">
        <v>0</v>
      </c>
      <c r="D7" s="28" t="n">
        <v>0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9" t="n">
        <f aca="false">SUM(B7:M7)</f>
        <v>0</v>
      </c>
    </row>
    <row r="8" customFormat="false" ht="15" hidden="false" customHeight="false" outlineLevel="0" collapsed="false">
      <c r="A8" s="9" t="s">
        <v>240</v>
      </c>
      <c r="B8" s="28" t="n">
        <v>0</v>
      </c>
      <c r="C8" s="28" t="n">
        <v>0</v>
      </c>
      <c r="D8" s="28" t="n">
        <v>0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30" t="n">
        <f aca="false">SUM(B8:M8)</f>
        <v>0</v>
      </c>
    </row>
    <row r="9" customFormat="false" ht="15" hidden="false" customHeight="false" outlineLevel="0" collapsed="false">
      <c r="A9" s="8" t="s">
        <v>241</v>
      </c>
      <c r="B9" s="28" t="n">
        <v>0</v>
      </c>
      <c r="C9" s="28" t="n">
        <v>0</v>
      </c>
      <c r="D9" s="28" t="n">
        <v>0</v>
      </c>
      <c r="E9" s="28" t="n">
        <v>0</v>
      </c>
      <c r="F9" s="28" t="n">
        <v>0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9" t="n">
        <f aca="false">SUM(B9:M9)</f>
        <v>0</v>
      </c>
    </row>
    <row r="10" customFormat="false" ht="15" hidden="false" customHeight="false" outlineLevel="0" collapsed="false">
      <c r="A10" s="9" t="s">
        <v>242</v>
      </c>
      <c r="B10" s="28" t="n">
        <v>0</v>
      </c>
      <c r="C10" s="28" t="n">
        <v>0</v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0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30" t="n">
        <f aca="false">SUM(B10:M10)</f>
        <v>0</v>
      </c>
    </row>
    <row r="11" customFormat="false" ht="15" hidden="false" customHeight="false" outlineLevel="0" collapsed="false">
      <c r="A11" s="13" t="s">
        <v>243</v>
      </c>
      <c r="B11" s="31" t="n">
        <f aca="false">SUM(B5:B10)</f>
        <v>500</v>
      </c>
      <c r="C11" s="31" t="n">
        <f aca="false">SUM(C5:C10)</f>
        <v>500</v>
      </c>
      <c r="D11" s="31" t="n">
        <f aca="false">SUM(D5:D10)</f>
        <v>750</v>
      </c>
      <c r="E11" s="31" t="n">
        <f aca="false">SUM(E5:E10)</f>
        <v>750</v>
      </c>
      <c r="F11" s="31" t="n">
        <f aca="false">SUM(F5:F10)</f>
        <v>6000</v>
      </c>
      <c r="G11" s="31" t="n">
        <f aca="false">SUM(G5:G10)</f>
        <v>6000</v>
      </c>
      <c r="H11" s="31" t="n">
        <f aca="false">SUM(H5:H10)</f>
        <v>1250</v>
      </c>
      <c r="I11" s="31" t="n">
        <f aca="false">SUM(I5:I10)</f>
        <v>1250</v>
      </c>
      <c r="J11" s="31" t="n">
        <f aca="false">SUM(J5:J10)</f>
        <v>6500</v>
      </c>
      <c r="K11" s="31" t="n">
        <f aca="false">SUM(K5:K10)</f>
        <v>6500</v>
      </c>
      <c r="L11" s="31" t="n">
        <f aca="false">SUM(L5:L10)</f>
        <v>2000</v>
      </c>
      <c r="M11" s="31" t="n">
        <f aca="false">SUM(M5:M10)</f>
        <v>8000</v>
      </c>
      <c r="N11" s="31" t="n">
        <f aca="false">SUM(N5:N10)</f>
        <v>40000</v>
      </c>
    </row>
    <row r="13" customFormat="false" ht="15" hidden="false" customHeight="false" outlineLevel="0" collapsed="false">
      <c r="A13" s="17" t="s">
        <v>244</v>
      </c>
    </row>
    <row r="14" customFormat="false" ht="26.85" hidden="false" customHeight="false" outlineLevel="0" collapsed="false">
      <c r="A14" s="7" t="s">
        <v>245</v>
      </c>
      <c r="B14" s="7" t="s">
        <v>224</v>
      </c>
      <c r="C14" s="7" t="s">
        <v>225</v>
      </c>
      <c r="D14" s="7" t="s">
        <v>226</v>
      </c>
      <c r="E14" s="7" t="s">
        <v>227</v>
      </c>
      <c r="F14" s="7" t="s">
        <v>228</v>
      </c>
      <c r="G14" s="7" t="s">
        <v>229</v>
      </c>
      <c r="H14" s="7" t="s">
        <v>230</v>
      </c>
      <c r="I14" s="7" t="s">
        <v>231</v>
      </c>
      <c r="J14" s="7" t="s">
        <v>232</v>
      </c>
      <c r="K14" s="7" t="s">
        <v>233</v>
      </c>
      <c r="L14" s="7" t="s">
        <v>234</v>
      </c>
      <c r="M14" s="7" t="s">
        <v>235</v>
      </c>
      <c r="N14" s="7" t="s">
        <v>236</v>
      </c>
    </row>
    <row r="15" customFormat="false" ht="15" hidden="false" customHeight="false" outlineLevel="0" collapsed="false">
      <c r="A15" s="8" t="s">
        <v>246</v>
      </c>
      <c r="B15" s="28" t="n">
        <v>300</v>
      </c>
      <c r="C15" s="28" t="n">
        <v>300</v>
      </c>
      <c r="D15" s="28" t="n">
        <v>350</v>
      </c>
      <c r="E15" s="28" t="n">
        <v>350</v>
      </c>
      <c r="F15" s="28" t="n">
        <v>400</v>
      </c>
      <c r="G15" s="28" t="n">
        <v>400</v>
      </c>
      <c r="H15" s="28" t="n">
        <v>450</v>
      </c>
      <c r="I15" s="28" t="n">
        <v>450</v>
      </c>
      <c r="J15" s="28" t="n">
        <v>500</v>
      </c>
      <c r="K15" s="28" t="n">
        <v>500</v>
      </c>
      <c r="L15" s="28" t="n">
        <v>500</v>
      </c>
      <c r="M15" s="28" t="n">
        <v>500</v>
      </c>
      <c r="N15" s="29" t="n">
        <f aca="false">SUM(B15:M15)</f>
        <v>5000</v>
      </c>
    </row>
    <row r="16" customFormat="false" ht="15" hidden="false" customHeight="false" outlineLevel="0" collapsed="false">
      <c r="A16" s="9" t="s">
        <v>247</v>
      </c>
      <c r="B16" s="28" t="n">
        <v>500</v>
      </c>
      <c r="C16" s="28" t="n">
        <v>600</v>
      </c>
      <c r="D16" s="28" t="n">
        <v>700</v>
      </c>
      <c r="E16" s="28" t="n">
        <v>800</v>
      </c>
      <c r="F16" s="28" t="n">
        <v>900</v>
      </c>
      <c r="G16" s="28" t="n">
        <v>1000</v>
      </c>
      <c r="H16" s="28" t="n">
        <v>1000</v>
      </c>
      <c r="I16" s="28" t="n">
        <v>1000</v>
      </c>
      <c r="J16" s="28" t="n">
        <v>1000</v>
      </c>
      <c r="K16" s="28" t="n">
        <v>1000</v>
      </c>
      <c r="L16" s="28" t="n">
        <v>1000</v>
      </c>
      <c r="M16" s="28" t="n">
        <v>1000</v>
      </c>
      <c r="N16" s="30" t="n">
        <f aca="false">SUM(B16:M16)</f>
        <v>10500</v>
      </c>
    </row>
    <row r="17" customFormat="false" ht="15" hidden="false" customHeight="false" outlineLevel="0" collapsed="false">
      <c r="A17" s="8" t="s">
        <v>248</v>
      </c>
      <c r="B17" s="28" t="n">
        <v>100</v>
      </c>
      <c r="C17" s="28" t="n">
        <v>100</v>
      </c>
      <c r="D17" s="28" t="n">
        <v>100</v>
      </c>
      <c r="E17" s="28" t="n">
        <v>150</v>
      </c>
      <c r="F17" s="28" t="n">
        <v>150</v>
      </c>
      <c r="G17" s="28" t="n">
        <v>150</v>
      </c>
      <c r="H17" s="28" t="n">
        <v>200</v>
      </c>
      <c r="I17" s="28" t="n">
        <v>200</v>
      </c>
      <c r="J17" s="28" t="n">
        <v>200</v>
      </c>
      <c r="K17" s="28" t="n">
        <v>200</v>
      </c>
      <c r="L17" s="28" t="n">
        <v>200</v>
      </c>
      <c r="M17" s="28" t="n">
        <v>200</v>
      </c>
      <c r="N17" s="29" t="n">
        <f aca="false">SUM(B17:M17)</f>
        <v>1950</v>
      </c>
    </row>
    <row r="18" customFormat="false" ht="15" hidden="false" customHeight="false" outlineLevel="0" collapsed="false">
      <c r="A18" s="9" t="s">
        <v>249</v>
      </c>
      <c r="B18" s="28" t="n">
        <v>50</v>
      </c>
      <c r="C18" s="28" t="n">
        <v>20</v>
      </c>
      <c r="D18" s="28" t="n">
        <v>20</v>
      </c>
      <c r="E18" s="28" t="n">
        <v>20</v>
      </c>
      <c r="F18" s="28" t="n">
        <v>20</v>
      </c>
      <c r="G18" s="28" t="n">
        <v>20</v>
      </c>
      <c r="H18" s="28" t="n">
        <v>20</v>
      </c>
      <c r="I18" s="28" t="n">
        <v>20</v>
      </c>
      <c r="J18" s="28" t="n">
        <v>20</v>
      </c>
      <c r="K18" s="28" t="n">
        <v>20</v>
      </c>
      <c r="L18" s="28" t="n">
        <v>20</v>
      </c>
      <c r="M18" s="28" t="n">
        <v>50</v>
      </c>
      <c r="N18" s="30" t="n">
        <f aca="false">SUM(B18:M18)</f>
        <v>300</v>
      </c>
    </row>
    <row r="19" customFormat="false" ht="15" hidden="false" customHeight="false" outlineLevel="0" collapsed="false">
      <c r="A19" s="8" t="s">
        <v>250</v>
      </c>
      <c r="B19" s="28" t="n">
        <v>0</v>
      </c>
      <c r="C19" s="28" t="n">
        <v>30</v>
      </c>
      <c r="D19" s="28" t="n">
        <v>30</v>
      </c>
      <c r="E19" s="28" t="n">
        <v>30</v>
      </c>
      <c r="F19" s="28" t="n">
        <v>30</v>
      </c>
      <c r="G19" s="28" t="n">
        <v>50</v>
      </c>
      <c r="H19" s="28" t="n">
        <v>50</v>
      </c>
      <c r="I19" s="28" t="n">
        <v>50</v>
      </c>
      <c r="J19" s="28" t="n">
        <v>50</v>
      </c>
      <c r="K19" s="28" t="n">
        <v>50</v>
      </c>
      <c r="L19" s="28" t="n">
        <v>50</v>
      </c>
      <c r="M19" s="28" t="n">
        <v>50</v>
      </c>
      <c r="N19" s="29" t="n">
        <f aca="false">SUM(B19:M19)</f>
        <v>470</v>
      </c>
    </row>
    <row r="20" customFormat="false" ht="15" hidden="false" customHeight="false" outlineLevel="0" collapsed="false">
      <c r="A20" s="9" t="s">
        <v>251</v>
      </c>
      <c r="B20" s="28" t="n">
        <v>600</v>
      </c>
      <c r="C20" s="28" t="n">
        <v>0</v>
      </c>
      <c r="D20" s="28" t="n">
        <v>0</v>
      </c>
      <c r="E20" s="28" t="n">
        <v>275</v>
      </c>
      <c r="F20" s="28" t="n">
        <v>0</v>
      </c>
      <c r="G20" s="28" t="n">
        <v>0</v>
      </c>
      <c r="H20" s="28" t="n">
        <v>0</v>
      </c>
      <c r="I20" s="28" t="n">
        <v>0</v>
      </c>
      <c r="J20" s="28" t="n">
        <v>0</v>
      </c>
      <c r="K20" s="28" t="n">
        <v>0</v>
      </c>
      <c r="L20" s="28" t="n">
        <v>0</v>
      </c>
      <c r="M20" s="28" t="n">
        <v>0</v>
      </c>
      <c r="N20" s="30" t="n">
        <f aca="false">SUM(B20:M20)</f>
        <v>875</v>
      </c>
    </row>
    <row r="21" customFormat="false" ht="15" hidden="false" customHeight="false" outlineLevel="0" collapsed="false">
      <c r="A21" s="8" t="s">
        <v>252</v>
      </c>
      <c r="B21" s="28" t="n">
        <v>0</v>
      </c>
      <c r="C21" s="28" t="n">
        <v>0</v>
      </c>
      <c r="D21" s="28" t="n">
        <v>0</v>
      </c>
      <c r="E21" s="28" t="n">
        <v>150</v>
      </c>
      <c r="F21" s="28" t="n">
        <v>150</v>
      </c>
      <c r="G21" s="28" t="n">
        <v>150</v>
      </c>
      <c r="H21" s="28" t="n">
        <v>150</v>
      </c>
      <c r="I21" s="28" t="n">
        <v>150</v>
      </c>
      <c r="J21" s="28" t="n">
        <v>150</v>
      </c>
      <c r="K21" s="28" t="n">
        <v>150</v>
      </c>
      <c r="L21" s="28" t="n">
        <v>150</v>
      </c>
      <c r="M21" s="28" t="n">
        <v>150</v>
      </c>
      <c r="N21" s="29" t="n">
        <f aca="false">SUM(B21:M21)</f>
        <v>1350</v>
      </c>
    </row>
    <row r="22" customFormat="false" ht="15" hidden="false" customHeight="false" outlineLevel="0" collapsed="false">
      <c r="A22" s="9" t="s">
        <v>253</v>
      </c>
      <c r="B22" s="28" t="n">
        <v>0</v>
      </c>
      <c r="C22" s="28" t="n">
        <v>50</v>
      </c>
      <c r="D22" s="28" t="n">
        <v>50</v>
      </c>
      <c r="E22" s="28" t="n">
        <v>100</v>
      </c>
      <c r="F22" s="28" t="n">
        <v>100</v>
      </c>
      <c r="G22" s="28" t="n">
        <v>150</v>
      </c>
      <c r="H22" s="28" t="n">
        <v>150</v>
      </c>
      <c r="I22" s="28" t="n">
        <v>200</v>
      </c>
      <c r="J22" s="28" t="n">
        <v>200</v>
      </c>
      <c r="K22" s="28" t="n">
        <v>200</v>
      </c>
      <c r="L22" s="28" t="n">
        <v>250</v>
      </c>
      <c r="M22" s="28" t="n">
        <v>250</v>
      </c>
      <c r="N22" s="30" t="n">
        <f aca="false">SUM(B22:M22)</f>
        <v>1700</v>
      </c>
    </row>
    <row r="23" customFormat="false" ht="15" hidden="false" customHeight="false" outlineLevel="0" collapsed="false">
      <c r="A23" s="8" t="s">
        <v>254</v>
      </c>
      <c r="B23" s="28" t="n">
        <v>100</v>
      </c>
      <c r="C23" s="28" t="n">
        <v>100</v>
      </c>
      <c r="D23" s="28" t="n">
        <v>100</v>
      </c>
      <c r="E23" s="28" t="n">
        <v>100</v>
      </c>
      <c r="F23" s="28" t="n">
        <v>100</v>
      </c>
      <c r="G23" s="28" t="n">
        <v>100</v>
      </c>
      <c r="H23" s="28" t="n">
        <v>100</v>
      </c>
      <c r="I23" s="28" t="n">
        <v>100</v>
      </c>
      <c r="J23" s="28" t="n">
        <v>100</v>
      </c>
      <c r="K23" s="28" t="n">
        <v>100</v>
      </c>
      <c r="L23" s="28" t="n">
        <v>100</v>
      </c>
      <c r="M23" s="28" t="n">
        <v>100</v>
      </c>
      <c r="N23" s="29" t="n">
        <f aca="false">SUM(B23:M23)</f>
        <v>1200</v>
      </c>
    </row>
    <row r="24" customFormat="false" ht="15" hidden="false" customHeight="false" outlineLevel="0" collapsed="false">
      <c r="A24" s="32" t="s">
        <v>255</v>
      </c>
      <c r="B24" s="33" t="n">
        <f aca="false">SUM(B15:B23)</f>
        <v>1650</v>
      </c>
      <c r="C24" s="33" t="n">
        <f aca="false">SUM(C15:C23)</f>
        <v>1200</v>
      </c>
      <c r="D24" s="33" t="n">
        <f aca="false">SUM(D15:D23)</f>
        <v>1350</v>
      </c>
      <c r="E24" s="33" t="n">
        <f aca="false">SUM(E15:E23)</f>
        <v>1975</v>
      </c>
      <c r="F24" s="33" t="n">
        <f aca="false">SUM(F15:F23)</f>
        <v>1850</v>
      </c>
      <c r="G24" s="33" t="n">
        <f aca="false">SUM(G15:G23)</f>
        <v>2020</v>
      </c>
      <c r="H24" s="33" t="n">
        <f aca="false">SUM(H15:H23)</f>
        <v>2120</v>
      </c>
      <c r="I24" s="33" t="n">
        <f aca="false">SUM(I15:I23)</f>
        <v>2170</v>
      </c>
      <c r="J24" s="33" t="n">
        <f aca="false">SUM(J15:J23)</f>
        <v>2220</v>
      </c>
      <c r="K24" s="33" t="n">
        <f aca="false">SUM(K15:K23)</f>
        <v>2220</v>
      </c>
      <c r="L24" s="33" t="n">
        <f aca="false">SUM(L15:L23)</f>
        <v>2270</v>
      </c>
      <c r="M24" s="33" t="n">
        <f aca="false">SUM(M15:M23)</f>
        <v>2300</v>
      </c>
      <c r="N24" s="33" t="n">
        <f aca="false">SUM(N15:N23)</f>
        <v>23345</v>
      </c>
    </row>
    <row r="25" customFormat="false" ht="15" hidden="false" customHeight="false" outlineLevel="0" collapsed="false">
      <c r="A25" s="17" t="s">
        <v>256</v>
      </c>
      <c r="B25" s="34" t="n">
        <f aca="false">B11-B24</f>
        <v>-1150</v>
      </c>
      <c r="C25" s="34" t="n">
        <f aca="false">C11-C24</f>
        <v>-700</v>
      </c>
      <c r="D25" s="34" t="n">
        <f aca="false">D11-D24</f>
        <v>-600</v>
      </c>
      <c r="E25" s="34" t="n">
        <f aca="false">E11-E24</f>
        <v>-1225</v>
      </c>
      <c r="F25" s="34" t="n">
        <f aca="false">F11-F24</f>
        <v>4150</v>
      </c>
      <c r="G25" s="34" t="n">
        <f aca="false">G11-G24</f>
        <v>3980</v>
      </c>
      <c r="H25" s="34" t="n">
        <f aca="false">H11-H24</f>
        <v>-870</v>
      </c>
      <c r="I25" s="34" t="n">
        <f aca="false">I11-I24</f>
        <v>-920</v>
      </c>
      <c r="J25" s="34" t="n">
        <f aca="false">J11-J24</f>
        <v>4280</v>
      </c>
      <c r="K25" s="34" t="n">
        <f aca="false">K11-K24</f>
        <v>4280</v>
      </c>
      <c r="L25" s="34" t="n">
        <f aca="false">L11-L24</f>
        <v>-270</v>
      </c>
      <c r="M25" s="34" t="n">
        <f aca="false">M11-M24</f>
        <v>5700</v>
      </c>
      <c r="N25" s="34" t="n">
        <f aca="false">N11-N24</f>
        <v>16655</v>
      </c>
    </row>
    <row r="26" customFormat="false" ht="15" hidden="false" customHeight="false" outlineLevel="0" collapsed="false">
      <c r="A26" s="35" t="s">
        <v>257</v>
      </c>
      <c r="B26" s="36" t="n">
        <f aca="false">B25</f>
        <v>-1150</v>
      </c>
      <c r="C26" s="36" t="n">
        <f aca="false">B26+C25</f>
        <v>-1850</v>
      </c>
      <c r="D26" s="36" t="n">
        <f aca="false">C26+D25</f>
        <v>-2450</v>
      </c>
      <c r="E26" s="36" t="n">
        <f aca="false">D26+E25</f>
        <v>-3675</v>
      </c>
      <c r="F26" s="36" t="n">
        <f aca="false">E26+F25</f>
        <v>475</v>
      </c>
      <c r="G26" s="36" t="n">
        <f aca="false">F26+G25</f>
        <v>4455</v>
      </c>
      <c r="H26" s="36" t="n">
        <f aca="false">G26+H25</f>
        <v>3585</v>
      </c>
      <c r="I26" s="36" t="n">
        <f aca="false">H26+I25</f>
        <v>2665</v>
      </c>
      <c r="J26" s="36" t="n">
        <f aca="false">I26+J25</f>
        <v>6945</v>
      </c>
      <c r="K26" s="36" t="n">
        <f aca="false">J26+K25</f>
        <v>11225</v>
      </c>
      <c r="L26" s="36" t="n">
        <f aca="false">K26+L25</f>
        <v>10955</v>
      </c>
      <c r="M26" s="36" t="n">
        <f aca="false">L26+M25</f>
        <v>16655</v>
      </c>
      <c r="N26" s="36" t="n">
        <f aca="false">M26+N25</f>
        <v>33310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2026-03-30T14:34:30Z</dcterms:created>
  <dc:creator>openpyxl</dc:creator>
  <dc:description/>
  <dc:language>en-US</dc:language>
  <cp:lastModifiedBy/>
  <dcterms:modified xsi:type="dcterms:W3CDTF">2026-03-30T14:34:30Z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